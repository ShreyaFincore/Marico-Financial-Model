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omments4.xml" ContentType="application/vnd.openxmlformats-officedocument.spreadsheetml.comments+xml"/>
  <Override PartName="/xl/drawings/drawing10.xml" ContentType="application/vnd.openxmlformats-officedocument.drawing+xml"/>
  <Override PartName="/xl/comments5.xml" ContentType="application/vnd.openxmlformats-officedocument.spreadsheetml.comments+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hreya Sakhare\OneDrive\Documents\ACTUAL FM\"/>
    </mc:Choice>
  </mc:AlternateContent>
  <xr:revisionPtr revIDLastSave="0" documentId="13_ncr:1_{A6A1F12B-B4E1-47A2-A390-1C5403050094}" xr6:coauthVersionLast="47" xr6:coauthVersionMax="47" xr10:uidLastSave="{00000000-0000-0000-0000-000000000000}"/>
  <bookViews>
    <workbookView xWindow="-108" yWindow="-108" windowWidth="23256" windowHeight="12456" firstSheet="3" activeTab="8" xr2:uid="{65649D2E-07D0-4163-9E6D-74B6C5AE2EE1}"/>
  </bookViews>
  <sheets>
    <sheet name="Dashboard" sheetId="14" r:id="rId1"/>
    <sheet name="About" sheetId="15" r:id="rId2"/>
    <sheet name="Income statement" sheetId="1" r:id="rId3"/>
    <sheet name="Balance Sheet" sheetId="3" r:id="rId4"/>
    <sheet name="Cashflow statement" sheetId="4" r:id="rId5"/>
    <sheet name="Ratio Analysis" sheetId="5" r:id="rId6"/>
    <sheet name="Assumption sheet" sheetId="6" r:id="rId7"/>
    <sheet name="Revenue schedule" sheetId="7" r:id="rId8"/>
    <sheet name="Cost Schedule" sheetId="9" r:id="rId9"/>
    <sheet name="Asset Schedule" sheetId="10" r:id="rId10"/>
    <sheet name="Debt Schedule" sheetId="11" r:id="rId11"/>
    <sheet name="Working Capital Schedule" sheetId="12" r:id="rId12"/>
    <sheet name="DCF" sheetId="13" r:id="rId13"/>
  </sheets>
  <calcPr calcId="18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6" l="1"/>
  <c r="D40" i="6"/>
  <c r="E40" i="6"/>
  <c r="F40" i="6"/>
  <c r="G40" i="6"/>
  <c r="H40" i="6"/>
  <c r="I40" i="6"/>
  <c r="J40" i="6"/>
  <c r="K40" i="6"/>
  <c r="L40" i="6"/>
  <c r="D42" i="6"/>
  <c r="E42" i="6"/>
  <c r="F42" i="6"/>
  <c r="G42" i="6"/>
  <c r="H42" i="6"/>
  <c r="I42" i="6"/>
  <c r="J42" i="6"/>
  <c r="K42" i="6"/>
  <c r="L42" i="6"/>
  <c r="D44" i="6"/>
  <c r="E44" i="6"/>
  <c r="F44" i="6"/>
  <c r="G44" i="6"/>
  <c r="H44" i="6"/>
  <c r="I44" i="6"/>
  <c r="J44" i="6"/>
  <c r="K44" i="6"/>
  <c r="L44" i="6"/>
  <c r="C44" i="6"/>
  <c r="C42" i="6"/>
  <c r="C40" i="6"/>
  <c r="D37" i="6"/>
  <c r="E37" i="6"/>
  <c r="F37" i="6"/>
  <c r="G37" i="6"/>
  <c r="I37" i="6"/>
  <c r="J37" i="6"/>
  <c r="K37" i="6"/>
  <c r="L37" i="6"/>
  <c r="C37" i="6"/>
  <c r="D35" i="6"/>
  <c r="E35" i="6"/>
  <c r="F35" i="6"/>
  <c r="G35" i="6"/>
  <c r="H35" i="6"/>
  <c r="I35" i="6"/>
  <c r="J35" i="6"/>
  <c r="K35" i="6"/>
  <c r="L35" i="6"/>
  <c r="C35" i="6"/>
  <c r="D33" i="6"/>
  <c r="E33" i="6"/>
  <c r="F33" i="6"/>
  <c r="G33" i="6"/>
  <c r="H33" i="6"/>
  <c r="I33" i="6"/>
  <c r="J33" i="6"/>
  <c r="K33" i="6"/>
  <c r="L33" i="6"/>
  <c r="C33" i="6"/>
  <c r="D17" i="6"/>
  <c r="E17" i="6"/>
  <c r="F17" i="6"/>
  <c r="G17" i="6"/>
  <c r="H17" i="6"/>
  <c r="I17" i="6"/>
  <c r="J17" i="6"/>
  <c r="K17" i="6"/>
  <c r="L17" i="6"/>
  <c r="D19" i="6"/>
  <c r="E19" i="6"/>
  <c r="F19" i="6"/>
  <c r="G19" i="6"/>
  <c r="H19" i="6"/>
  <c r="I19" i="6"/>
  <c r="J19" i="6"/>
  <c r="K19" i="6"/>
  <c r="L19" i="6"/>
  <c r="D21" i="6"/>
  <c r="E21" i="6"/>
  <c r="F21" i="6"/>
  <c r="D23" i="6"/>
  <c r="E23" i="6"/>
  <c r="F23" i="6"/>
  <c r="G23" i="6"/>
  <c r="H23" i="6"/>
  <c r="I23" i="6"/>
  <c r="J23" i="6"/>
  <c r="K23" i="6"/>
  <c r="L23" i="6"/>
  <c r="D26" i="6"/>
  <c r="E26" i="6"/>
  <c r="F26" i="6"/>
  <c r="G26" i="6"/>
  <c r="H26" i="6"/>
  <c r="I26" i="6"/>
  <c r="J26" i="6"/>
  <c r="K26" i="6"/>
  <c r="L26" i="6"/>
  <c r="D28" i="6"/>
  <c r="E28" i="6"/>
  <c r="F28" i="6"/>
  <c r="G28" i="6"/>
  <c r="H28" i="6"/>
  <c r="I28" i="6"/>
  <c r="J28" i="6"/>
  <c r="K28" i="6"/>
  <c r="L28" i="6"/>
  <c r="D30" i="6"/>
  <c r="E30" i="6"/>
  <c r="F30" i="6"/>
  <c r="G30" i="6"/>
  <c r="H30" i="6"/>
  <c r="I30" i="6"/>
  <c r="J30" i="6"/>
  <c r="K30" i="6"/>
  <c r="L30" i="6"/>
  <c r="C30" i="6"/>
  <c r="C28" i="6"/>
  <c r="C26" i="6"/>
  <c r="C17" i="6"/>
  <c r="C23" i="6"/>
  <c r="C21" i="6"/>
  <c r="C19" i="6"/>
  <c r="H14" i="6"/>
  <c r="D14" i="6"/>
  <c r="E14" i="6"/>
  <c r="F14" i="6"/>
  <c r="G14" i="6"/>
  <c r="I14" i="6"/>
  <c r="J14" i="6"/>
  <c r="K14" i="6"/>
  <c r="L14" i="6"/>
  <c r="C14" i="6"/>
  <c r="N14" i="5"/>
  <c r="D52" i="5"/>
  <c r="E52" i="5"/>
  <c r="F52" i="5"/>
  <c r="C52" i="5"/>
  <c r="D51" i="5"/>
  <c r="E51" i="5"/>
  <c r="F51" i="5"/>
  <c r="C51" i="5"/>
  <c r="C58" i="5"/>
  <c r="C53" i="5" s="1"/>
  <c r="E57" i="5"/>
  <c r="D57" i="5"/>
  <c r="D58" i="5"/>
  <c r="D53" i="5" s="1"/>
  <c r="D56" i="5"/>
  <c r="E56" i="5"/>
  <c r="F57" i="5" s="1"/>
  <c r="F56" i="5"/>
  <c r="G57" i="5" s="1"/>
  <c r="G56" i="5"/>
  <c r="H57" i="5" s="1"/>
  <c r="H56" i="5"/>
  <c r="I56" i="5"/>
  <c r="K56" i="5"/>
  <c r="L57" i="5" s="1"/>
  <c r="L56" i="5"/>
  <c r="C56" i="5"/>
  <c r="D50" i="5" l="1"/>
  <c r="I57" i="5"/>
  <c r="D47" i="5" l="1"/>
  <c r="E47" i="5"/>
  <c r="F47" i="5"/>
  <c r="C47" i="5"/>
  <c r="D46" i="5"/>
  <c r="E46" i="5"/>
  <c r="F46" i="5"/>
  <c r="C46" i="5"/>
  <c r="D45" i="5"/>
  <c r="E45" i="5"/>
  <c r="F45" i="5"/>
  <c r="C45" i="5"/>
  <c r="D39" i="5"/>
  <c r="E39" i="5"/>
  <c r="F39" i="5"/>
  <c r="G39" i="5"/>
  <c r="H39" i="5"/>
  <c r="I39" i="5"/>
  <c r="J39" i="5"/>
  <c r="K39" i="5"/>
  <c r="L39" i="5"/>
  <c r="D40" i="5"/>
  <c r="E40" i="5"/>
  <c r="F40" i="5"/>
  <c r="G40" i="5"/>
  <c r="H40" i="5"/>
  <c r="I40" i="5"/>
  <c r="J40" i="5"/>
  <c r="K40" i="5"/>
  <c r="L40" i="5"/>
  <c r="D41" i="5"/>
  <c r="D42" i="5" s="1"/>
  <c r="E41" i="5"/>
  <c r="E42" i="5" s="1"/>
  <c r="F41" i="5"/>
  <c r="F42" i="5" s="1"/>
  <c r="G41" i="5"/>
  <c r="G42" i="5" s="1"/>
  <c r="H41" i="5"/>
  <c r="H42" i="5" s="1"/>
  <c r="I41" i="5"/>
  <c r="I42" i="5" s="1"/>
  <c r="J41" i="5"/>
  <c r="J42" i="5" s="1"/>
  <c r="K41" i="5"/>
  <c r="K42" i="5" s="1"/>
  <c r="L41" i="5"/>
  <c r="L42" i="5" s="1"/>
  <c r="C41" i="5"/>
  <c r="N41" i="5" s="1"/>
  <c r="C40" i="5"/>
  <c r="N40" i="5" s="1"/>
  <c r="C39" i="5"/>
  <c r="N39" i="5" s="1"/>
  <c r="L32" i="5"/>
  <c r="L33" i="5"/>
  <c r="L34" i="5"/>
  <c r="L35" i="5"/>
  <c r="D32" i="5"/>
  <c r="E32" i="5"/>
  <c r="F32" i="5"/>
  <c r="G32" i="5"/>
  <c r="H32" i="5"/>
  <c r="I32" i="5"/>
  <c r="J32" i="5"/>
  <c r="K32" i="5"/>
  <c r="D33" i="5"/>
  <c r="E33" i="5"/>
  <c r="F33" i="5"/>
  <c r="G33" i="5"/>
  <c r="H33" i="5"/>
  <c r="I33" i="5"/>
  <c r="J33" i="5"/>
  <c r="K33" i="5"/>
  <c r="D34" i="5"/>
  <c r="E34" i="5"/>
  <c r="F34" i="5"/>
  <c r="G34" i="5"/>
  <c r="H34" i="5"/>
  <c r="I34" i="5"/>
  <c r="J34" i="5"/>
  <c r="K34" i="5"/>
  <c r="D35" i="5"/>
  <c r="E35" i="5"/>
  <c r="F35" i="5"/>
  <c r="G35" i="5"/>
  <c r="H35" i="5"/>
  <c r="I35" i="5"/>
  <c r="K35" i="5"/>
  <c r="C35" i="5"/>
  <c r="C34" i="5"/>
  <c r="N34" i="5" s="1"/>
  <c r="C33" i="5"/>
  <c r="N33" i="5" s="1"/>
  <c r="C32" i="5"/>
  <c r="N32" i="5" s="1"/>
  <c r="D29" i="5"/>
  <c r="E29" i="5"/>
  <c r="F29" i="5"/>
  <c r="G29" i="5"/>
  <c r="H29" i="5"/>
  <c r="I29" i="5"/>
  <c r="K29" i="5"/>
  <c r="L29" i="5"/>
  <c r="C29" i="5"/>
  <c r="D28" i="5"/>
  <c r="E28" i="5"/>
  <c r="F28" i="5"/>
  <c r="G28" i="5"/>
  <c r="H28" i="5"/>
  <c r="I28" i="5"/>
  <c r="K28" i="5"/>
  <c r="L28" i="5"/>
  <c r="C28" i="5"/>
  <c r="D25" i="5"/>
  <c r="E25" i="5"/>
  <c r="F25" i="5"/>
  <c r="C25" i="5"/>
  <c r="D24" i="5"/>
  <c r="E24" i="5"/>
  <c r="F24" i="5"/>
  <c r="C24" i="5"/>
  <c r="D23" i="5"/>
  <c r="C23" i="5"/>
  <c r="D21" i="5"/>
  <c r="E21" i="5"/>
  <c r="F21" i="5"/>
  <c r="G21" i="5"/>
  <c r="H21" i="5"/>
  <c r="I21" i="5"/>
  <c r="J21" i="5"/>
  <c r="K21" i="5"/>
  <c r="L21" i="5"/>
  <c r="C21" i="5"/>
  <c r="E17" i="5"/>
  <c r="F17" i="5"/>
  <c r="D17" i="5"/>
  <c r="E16" i="5"/>
  <c r="D16" i="5"/>
  <c r="E58" i="5"/>
  <c r="E23" i="5" s="1"/>
  <c r="F58" i="5"/>
  <c r="F15" i="5"/>
  <c r="D59" i="5"/>
  <c r="D22" i="5" s="1"/>
  <c r="E59" i="5"/>
  <c r="E22" i="5" s="1"/>
  <c r="F59" i="5"/>
  <c r="F22" i="5" s="1"/>
  <c r="C59" i="5"/>
  <c r="C22" i="5" s="1"/>
  <c r="D13" i="5"/>
  <c r="E13" i="5"/>
  <c r="F13" i="5"/>
  <c r="G13" i="5"/>
  <c r="H13" i="5"/>
  <c r="I13" i="5"/>
  <c r="J13" i="5"/>
  <c r="K13" i="5"/>
  <c r="L13" i="5"/>
  <c r="C13" i="5"/>
  <c r="G62" i="13"/>
  <c r="G59" i="13"/>
  <c r="G58" i="13"/>
  <c r="G57" i="13"/>
  <c r="G42" i="13"/>
  <c r="G41" i="13"/>
  <c r="G40" i="13"/>
  <c r="G38" i="13"/>
  <c r="G36" i="13"/>
  <c r="H35" i="13"/>
  <c r="I35" i="13"/>
  <c r="J35" i="13"/>
  <c r="K35" i="13"/>
  <c r="L35" i="13"/>
  <c r="G35" i="13"/>
  <c r="H30" i="13"/>
  <c r="I30" i="13"/>
  <c r="J30" i="13"/>
  <c r="K30" i="13"/>
  <c r="L30" i="13"/>
  <c r="G30" i="13"/>
  <c r="H18" i="13"/>
  <c r="I18" i="13"/>
  <c r="J18" i="13"/>
  <c r="K18" i="13"/>
  <c r="L18" i="13"/>
  <c r="G18" i="13"/>
  <c r="H17" i="13"/>
  <c r="I17" i="13"/>
  <c r="J17" i="13"/>
  <c r="K17" i="13"/>
  <c r="L17" i="13"/>
  <c r="G17" i="13"/>
  <c r="H16" i="13"/>
  <c r="I16" i="13"/>
  <c r="J16" i="13"/>
  <c r="K16" i="13"/>
  <c r="L16" i="13"/>
  <c r="G16" i="13"/>
  <c r="H47" i="3"/>
  <c r="I45" i="3"/>
  <c r="I47" i="3" s="1"/>
  <c r="I69" i="3"/>
  <c r="I84" i="3"/>
  <c r="H84" i="3"/>
  <c r="D84" i="3"/>
  <c r="C84" i="3"/>
  <c r="C86" i="3" s="1"/>
  <c r="K38" i="3"/>
  <c r="L68" i="4"/>
  <c r="J68" i="4"/>
  <c r="I68" i="4"/>
  <c r="I38" i="3"/>
  <c r="H60" i="4"/>
  <c r="H38" i="3"/>
  <c r="H15" i="1"/>
  <c r="I15" i="1" s="1"/>
  <c r="J15" i="1" s="1"/>
  <c r="K15" i="1" s="1"/>
  <c r="L15" i="1" s="1"/>
  <c r="G50" i="4"/>
  <c r="L41" i="12"/>
  <c r="L43" i="12"/>
  <c r="I41" i="12"/>
  <c r="J41" i="12"/>
  <c r="K41" i="12"/>
  <c r="H43" i="12"/>
  <c r="I43" i="12"/>
  <c r="J43" i="12"/>
  <c r="K43" i="12"/>
  <c r="I47" i="12"/>
  <c r="J47" i="12"/>
  <c r="K47" i="12"/>
  <c r="L47" i="12"/>
  <c r="D43" i="12"/>
  <c r="E43" i="12"/>
  <c r="F43" i="12"/>
  <c r="G43" i="12"/>
  <c r="C43" i="12"/>
  <c r="D51" i="12"/>
  <c r="E51" i="12"/>
  <c r="F51" i="12"/>
  <c r="G51" i="12"/>
  <c r="D52" i="12"/>
  <c r="E52" i="12"/>
  <c r="F52" i="12"/>
  <c r="G52" i="12"/>
  <c r="C52" i="12"/>
  <c r="C51" i="12"/>
  <c r="D31" i="12"/>
  <c r="E31" i="12"/>
  <c r="F31" i="12"/>
  <c r="G31" i="12"/>
  <c r="H31" i="12"/>
  <c r="I31" i="12"/>
  <c r="J31" i="12"/>
  <c r="K31" i="12"/>
  <c r="L31" i="12"/>
  <c r="C31" i="12"/>
  <c r="D27" i="12"/>
  <c r="E29" i="12" s="1"/>
  <c r="E33" i="12" s="1"/>
  <c r="E27" i="12"/>
  <c r="F27" i="12"/>
  <c r="G27" i="12"/>
  <c r="C27" i="12"/>
  <c r="H19" i="12"/>
  <c r="I19" i="12"/>
  <c r="J19" i="12"/>
  <c r="K19" i="12"/>
  <c r="L19" i="12"/>
  <c r="D19" i="12"/>
  <c r="E19" i="12"/>
  <c r="F19" i="12"/>
  <c r="G19" i="12"/>
  <c r="C19" i="12"/>
  <c r="D15" i="12"/>
  <c r="E15" i="12"/>
  <c r="F15" i="12"/>
  <c r="G15" i="12"/>
  <c r="C15" i="12"/>
  <c r="C43" i="11"/>
  <c r="D37" i="11"/>
  <c r="E37" i="11"/>
  <c r="F37" i="11"/>
  <c r="G37" i="11"/>
  <c r="C37" i="11"/>
  <c r="H63" i="4"/>
  <c r="I56" i="4"/>
  <c r="J56" i="4"/>
  <c r="K56" i="4"/>
  <c r="L56" i="4"/>
  <c r="H56" i="4"/>
  <c r="D31" i="11"/>
  <c r="E31" i="11"/>
  <c r="E18" i="11" s="1"/>
  <c r="F31" i="11"/>
  <c r="F18" i="11" s="1"/>
  <c r="G31" i="11"/>
  <c r="G18" i="11" s="1"/>
  <c r="C31" i="11"/>
  <c r="C18" i="11" s="1"/>
  <c r="J25" i="11"/>
  <c r="I25" i="11"/>
  <c r="H25" i="11"/>
  <c r="D25" i="11"/>
  <c r="D17" i="11" s="1"/>
  <c r="E25" i="11"/>
  <c r="E27" i="11" s="1"/>
  <c r="F25" i="11"/>
  <c r="F17" i="11" s="1"/>
  <c r="G25" i="11"/>
  <c r="G17" i="11" s="1"/>
  <c r="C25" i="11"/>
  <c r="C17" i="11" s="1"/>
  <c r="L17" i="11"/>
  <c r="K17" i="11"/>
  <c r="J17" i="11"/>
  <c r="I17" i="11"/>
  <c r="H17" i="11"/>
  <c r="K25" i="11"/>
  <c r="L25" i="11"/>
  <c r="D20" i="11"/>
  <c r="E16" i="11" s="1"/>
  <c r="E43" i="11" s="1"/>
  <c r="E20" i="11"/>
  <c r="F16" i="11" s="1"/>
  <c r="F43" i="11" s="1"/>
  <c r="F20" i="11"/>
  <c r="F44" i="11" s="1"/>
  <c r="G20" i="11"/>
  <c r="G44" i="11" s="1"/>
  <c r="C20" i="11"/>
  <c r="C44" i="11" s="1"/>
  <c r="C45" i="11" s="1"/>
  <c r="C41" i="11" s="1"/>
  <c r="C39" i="11" s="1"/>
  <c r="I63" i="3"/>
  <c r="J63" i="3"/>
  <c r="K63" i="3" s="1"/>
  <c r="L63" i="3" s="1"/>
  <c r="L69" i="3" s="1"/>
  <c r="H63" i="3"/>
  <c r="D12" i="11"/>
  <c r="E12" i="11"/>
  <c r="F12" i="11"/>
  <c r="G12" i="11"/>
  <c r="H12" i="11"/>
  <c r="I12" i="11"/>
  <c r="J12" i="11"/>
  <c r="K12" i="11"/>
  <c r="L12" i="11"/>
  <c r="C12" i="11"/>
  <c r="C47" i="10"/>
  <c r="C46" i="10"/>
  <c r="G19" i="10"/>
  <c r="G41" i="10" s="1"/>
  <c r="D16" i="10"/>
  <c r="D34" i="10" s="1"/>
  <c r="E16" i="10"/>
  <c r="E34" i="10" s="1"/>
  <c r="F16" i="10"/>
  <c r="G16" i="10"/>
  <c r="G34" i="10" s="1"/>
  <c r="C16" i="10"/>
  <c r="C34" i="10" s="1"/>
  <c r="D23" i="10"/>
  <c r="E23" i="10"/>
  <c r="F23" i="10"/>
  <c r="G23" i="10"/>
  <c r="C23" i="10"/>
  <c r="C19" i="10"/>
  <c r="C51" i="10" s="1"/>
  <c r="D17" i="10"/>
  <c r="D29" i="10" s="1"/>
  <c r="E17" i="10"/>
  <c r="E29" i="10" s="1"/>
  <c r="F17" i="10"/>
  <c r="F29" i="10" s="1"/>
  <c r="G17" i="10"/>
  <c r="G29" i="10" s="1"/>
  <c r="C17" i="10"/>
  <c r="C29" i="10" s="1"/>
  <c r="D15" i="10"/>
  <c r="E15" i="10"/>
  <c r="F15" i="10"/>
  <c r="G15" i="10"/>
  <c r="C15" i="10"/>
  <c r="D19" i="10"/>
  <c r="D51" i="10" s="1"/>
  <c r="E19" i="10"/>
  <c r="E40" i="10" s="1"/>
  <c r="F19" i="10"/>
  <c r="F40" i="10" s="1"/>
  <c r="C15" i="4"/>
  <c r="H50" i="9"/>
  <c r="H49" i="9"/>
  <c r="H48" i="9"/>
  <c r="D48" i="9"/>
  <c r="E48" i="9"/>
  <c r="F48" i="9"/>
  <c r="G48" i="9"/>
  <c r="D49" i="9"/>
  <c r="D50" i="9" s="1"/>
  <c r="E49" i="9"/>
  <c r="E50" i="9" s="1"/>
  <c r="F49" i="9"/>
  <c r="F50" i="9" s="1"/>
  <c r="G49" i="9"/>
  <c r="G50" i="9" s="1"/>
  <c r="C50" i="9"/>
  <c r="C49" i="9"/>
  <c r="C48" i="9"/>
  <c r="D41" i="9"/>
  <c r="E41" i="9"/>
  <c r="F41" i="9"/>
  <c r="C41" i="9"/>
  <c r="D39" i="9"/>
  <c r="E39" i="9"/>
  <c r="F39" i="9"/>
  <c r="G39" i="9"/>
  <c r="C39" i="9"/>
  <c r="D46" i="9"/>
  <c r="E46" i="9"/>
  <c r="F46" i="9"/>
  <c r="G46" i="9"/>
  <c r="C46" i="9"/>
  <c r="D44" i="9"/>
  <c r="E44" i="9"/>
  <c r="F44" i="9"/>
  <c r="G44" i="9"/>
  <c r="D45" i="9"/>
  <c r="E45" i="9"/>
  <c r="F45" i="9"/>
  <c r="G45" i="9"/>
  <c r="C45" i="9"/>
  <c r="C44" i="9"/>
  <c r="H36" i="9"/>
  <c r="D36" i="9"/>
  <c r="E36" i="9"/>
  <c r="F36" i="9"/>
  <c r="G36" i="9"/>
  <c r="C36" i="9"/>
  <c r="D34" i="9"/>
  <c r="E34" i="9"/>
  <c r="F34" i="9"/>
  <c r="G34" i="9"/>
  <c r="C34" i="9"/>
  <c r="H31" i="9"/>
  <c r="D31" i="9"/>
  <c r="E31" i="9"/>
  <c r="F31" i="9"/>
  <c r="G31" i="9"/>
  <c r="C31" i="9"/>
  <c r="D29" i="9"/>
  <c r="E29" i="9"/>
  <c r="F29" i="9"/>
  <c r="G29" i="9"/>
  <c r="C29" i="9"/>
  <c r="I20" i="9"/>
  <c r="J20" i="9"/>
  <c r="K20" i="9"/>
  <c r="L20" i="9" s="1"/>
  <c r="I26" i="9"/>
  <c r="J26" i="9"/>
  <c r="K26" i="9"/>
  <c r="L26" i="9"/>
  <c r="D18" i="9"/>
  <c r="D20" i="9" s="1"/>
  <c r="D15" i="9"/>
  <c r="D23" i="9" s="1"/>
  <c r="E15" i="9"/>
  <c r="F15" i="9"/>
  <c r="G15" i="9"/>
  <c r="D16" i="9"/>
  <c r="D24" i="9" s="1"/>
  <c r="E16" i="9"/>
  <c r="F16" i="9"/>
  <c r="G16" i="9"/>
  <c r="D17" i="9"/>
  <c r="D25" i="9" s="1"/>
  <c r="E17" i="9"/>
  <c r="F17" i="9"/>
  <c r="G17" i="9"/>
  <c r="C17" i="9"/>
  <c r="C16" i="9"/>
  <c r="C15" i="9"/>
  <c r="C23" i="9" s="1"/>
  <c r="D12" i="9"/>
  <c r="E12" i="9"/>
  <c r="F12" i="9"/>
  <c r="G12" i="9"/>
  <c r="C12" i="9"/>
  <c r="E12" i="1"/>
  <c r="F12" i="1"/>
  <c r="G12" i="1"/>
  <c r="D12" i="1"/>
  <c r="C66" i="1"/>
  <c r="D15" i="7"/>
  <c r="E15" i="7"/>
  <c r="E13" i="7" s="1"/>
  <c r="F15" i="7"/>
  <c r="G15" i="7"/>
  <c r="C15" i="7"/>
  <c r="F48" i="1"/>
  <c r="G48" i="1"/>
  <c r="H65" i="3"/>
  <c r="I65" i="3" s="1"/>
  <c r="J65" i="3" s="1"/>
  <c r="K65" i="3" s="1"/>
  <c r="L65" i="3" s="1"/>
  <c r="H64" i="3"/>
  <c r="I64" i="3" s="1"/>
  <c r="J64" i="3" s="1"/>
  <c r="K64" i="3" s="1"/>
  <c r="L64" i="3" s="1"/>
  <c r="I80" i="3"/>
  <c r="J80" i="3" s="1"/>
  <c r="K80" i="3" s="1"/>
  <c r="L80" i="3" s="1"/>
  <c r="I83" i="3"/>
  <c r="J83" i="3" s="1"/>
  <c r="K83" i="3" s="1"/>
  <c r="L83" i="3" s="1"/>
  <c r="H78" i="3"/>
  <c r="I78" i="3" s="1"/>
  <c r="J78" i="3" s="1"/>
  <c r="H79" i="3"/>
  <c r="I79" i="3" s="1"/>
  <c r="J79" i="3" s="1"/>
  <c r="K79" i="3" s="1"/>
  <c r="L79" i="3" s="1"/>
  <c r="H80" i="3"/>
  <c r="H81" i="3"/>
  <c r="I81" i="3" s="1"/>
  <c r="J81" i="3" s="1"/>
  <c r="K81" i="3" s="1"/>
  <c r="L81" i="3" s="1"/>
  <c r="H82" i="3"/>
  <c r="I82" i="3" s="1"/>
  <c r="J82" i="3" s="1"/>
  <c r="K82" i="3" s="1"/>
  <c r="L82" i="3" s="1"/>
  <c r="H83" i="3"/>
  <c r="H68" i="3"/>
  <c r="I68" i="3" s="1"/>
  <c r="J68" i="3" s="1"/>
  <c r="K68" i="3" s="1"/>
  <c r="L68" i="3" s="1"/>
  <c r="H67" i="3"/>
  <c r="I67" i="3" s="1"/>
  <c r="J67" i="3" s="1"/>
  <c r="K67" i="3" s="1"/>
  <c r="L67" i="3" s="1"/>
  <c r="H66" i="3"/>
  <c r="I66" i="3" s="1"/>
  <c r="J66" i="3" s="1"/>
  <c r="K66" i="3" s="1"/>
  <c r="L66" i="3" s="1"/>
  <c r="H57" i="3"/>
  <c r="I57" i="3" s="1"/>
  <c r="J57" i="3" s="1"/>
  <c r="K57" i="3" s="1"/>
  <c r="L57" i="3" s="1"/>
  <c r="I54" i="3"/>
  <c r="J54" i="3" s="1"/>
  <c r="H54" i="3"/>
  <c r="I41" i="3"/>
  <c r="J41" i="3"/>
  <c r="K41" i="3" s="1"/>
  <c r="L41" i="3" s="1"/>
  <c r="I43" i="3"/>
  <c r="J43" i="3" s="1"/>
  <c r="K43" i="3" s="1"/>
  <c r="L43" i="3" s="1"/>
  <c r="I44" i="3"/>
  <c r="J44" i="3"/>
  <c r="K44" i="3" s="1"/>
  <c r="L44" i="3" s="1"/>
  <c r="H44" i="3"/>
  <c r="H43" i="3"/>
  <c r="H42" i="3"/>
  <c r="I42" i="3" s="1"/>
  <c r="J42" i="3" s="1"/>
  <c r="K42" i="3" s="1"/>
  <c r="L42" i="3" s="1"/>
  <c r="H41" i="3"/>
  <c r="H40" i="3"/>
  <c r="I40" i="3" s="1"/>
  <c r="J40" i="3" s="1"/>
  <c r="K40" i="3" s="1"/>
  <c r="L40" i="3" s="1"/>
  <c r="H36" i="3"/>
  <c r="I36" i="3" s="1"/>
  <c r="J36" i="3" s="1"/>
  <c r="K36" i="3" s="1"/>
  <c r="L36" i="3" s="1"/>
  <c r="H39" i="3"/>
  <c r="I39" i="3" s="1"/>
  <c r="J39" i="3" s="1"/>
  <c r="K39" i="3" s="1"/>
  <c r="I25" i="3"/>
  <c r="J25" i="3"/>
  <c r="K25" i="3" s="1"/>
  <c r="L25" i="3" s="1"/>
  <c r="H29" i="3"/>
  <c r="I29" i="3" s="1"/>
  <c r="J29" i="3" s="1"/>
  <c r="K29" i="3" s="1"/>
  <c r="L29" i="3" s="1"/>
  <c r="H28" i="3"/>
  <c r="I28" i="3" s="1"/>
  <c r="J28" i="3" s="1"/>
  <c r="K28" i="3" s="1"/>
  <c r="L28" i="3" s="1"/>
  <c r="H27" i="3"/>
  <c r="I27" i="3" s="1"/>
  <c r="J27" i="3" s="1"/>
  <c r="K27" i="3" s="1"/>
  <c r="L27" i="3" s="1"/>
  <c r="H26" i="3"/>
  <c r="I26" i="3" s="1"/>
  <c r="J26" i="3" s="1"/>
  <c r="K26" i="3" s="1"/>
  <c r="L26" i="3" s="1"/>
  <c r="H25" i="3"/>
  <c r="H24" i="3"/>
  <c r="I24" i="3" s="1"/>
  <c r="J24" i="3" s="1"/>
  <c r="K24" i="3" s="1"/>
  <c r="L24" i="3" s="1"/>
  <c r="H20" i="3"/>
  <c r="I20" i="3" s="1"/>
  <c r="J20" i="3" s="1"/>
  <c r="K20" i="3" s="1"/>
  <c r="L20" i="3" s="1"/>
  <c r="E65" i="4"/>
  <c r="F65" i="4"/>
  <c r="G65" i="4"/>
  <c r="D65" i="4"/>
  <c r="C65" i="4"/>
  <c r="D50" i="4"/>
  <c r="E50" i="4"/>
  <c r="F50" i="4"/>
  <c r="C50" i="4"/>
  <c r="F55" i="3"/>
  <c r="F56" i="3" s="1"/>
  <c r="F58" i="3" s="1"/>
  <c r="E86" i="3"/>
  <c r="E84" i="3"/>
  <c r="F84" i="3"/>
  <c r="G84" i="3"/>
  <c r="C30" i="3"/>
  <c r="D69" i="3"/>
  <c r="E69" i="3"/>
  <c r="F69" i="3"/>
  <c r="G69" i="3"/>
  <c r="C69" i="3"/>
  <c r="D56" i="3"/>
  <c r="D58" i="3" s="1"/>
  <c r="E56" i="3"/>
  <c r="E58" i="3" s="1"/>
  <c r="G58" i="3"/>
  <c r="C56" i="3"/>
  <c r="C58" i="3" s="1"/>
  <c r="D30" i="3"/>
  <c r="E30" i="3"/>
  <c r="F30" i="3"/>
  <c r="G30" i="3"/>
  <c r="E21" i="1"/>
  <c r="E26" i="1" s="1"/>
  <c r="D48" i="1"/>
  <c r="E48" i="1"/>
  <c r="H48" i="1"/>
  <c r="I48" i="1"/>
  <c r="J48" i="1"/>
  <c r="K48" i="1"/>
  <c r="L48" i="1"/>
  <c r="D42" i="1"/>
  <c r="E42" i="1"/>
  <c r="F42" i="1"/>
  <c r="F50" i="1" s="1"/>
  <c r="H42" i="1"/>
  <c r="I42" i="1"/>
  <c r="J42" i="1"/>
  <c r="K42" i="1"/>
  <c r="L42" i="1"/>
  <c r="L50" i="1" s="1"/>
  <c r="D35" i="1"/>
  <c r="E35" i="1"/>
  <c r="F35" i="1"/>
  <c r="G35" i="1"/>
  <c r="D21" i="1"/>
  <c r="D26" i="1" s="1"/>
  <c r="F21" i="1"/>
  <c r="F26" i="1" s="1"/>
  <c r="G21" i="1"/>
  <c r="G26" i="1" s="1"/>
  <c r="D66" i="1"/>
  <c r="E66" i="1"/>
  <c r="F66" i="1"/>
  <c r="G66" i="1"/>
  <c r="H66" i="1"/>
  <c r="I66" i="1"/>
  <c r="J66" i="1"/>
  <c r="K66" i="1"/>
  <c r="L66" i="1"/>
  <c r="D61" i="1"/>
  <c r="E61" i="1"/>
  <c r="F61" i="1"/>
  <c r="G61" i="1"/>
  <c r="H61" i="1"/>
  <c r="I61" i="1"/>
  <c r="J61" i="1"/>
  <c r="K61" i="1"/>
  <c r="L61" i="1"/>
  <c r="D56" i="1"/>
  <c r="E56" i="1"/>
  <c r="F56" i="1"/>
  <c r="G56" i="1"/>
  <c r="H56" i="1"/>
  <c r="I56" i="1"/>
  <c r="J56" i="1"/>
  <c r="K56" i="1"/>
  <c r="L56" i="1"/>
  <c r="C61" i="1"/>
  <c r="C56" i="1"/>
  <c r="G50" i="1"/>
  <c r="H50" i="1"/>
  <c r="C48" i="1"/>
  <c r="C50" i="1" s="1"/>
  <c r="C42" i="1"/>
  <c r="C35" i="1"/>
  <c r="C21" i="1"/>
  <c r="C18" i="9" s="1"/>
  <c r="D16" i="1"/>
  <c r="E16" i="1"/>
  <c r="F16" i="1"/>
  <c r="G16" i="1"/>
  <c r="C16" i="1"/>
  <c r="F50" i="5" l="1"/>
  <c r="F53" i="5"/>
  <c r="C42" i="5"/>
  <c r="N42" i="5" s="1"/>
  <c r="D15" i="5"/>
  <c r="E15" i="5"/>
  <c r="E53" i="5"/>
  <c r="E50" i="5"/>
  <c r="F16" i="5"/>
  <c r="N21" i="5"/>
  <c r="N13" i="5"/>
  <c r="F23" i="5"/>
  <c r="H14" i="10"/>
  <c r="I63" i="4"/>
  <c r="J63" i="4" s="1"/>
  <c r="K63" i="4" s="1"/>
  <c r="E44" i="11"/>
  <c r="E54" i="12"/>
  <c r="E58" i="12" s="1"/>
  <c r="D54" i="12"/>
  <c r="D58" i="12" s="1"/>
  <c r="F45" i="11"/>
  <c r="F41" i="11" s="1"/>
  <c r="F39" i="11" s="1"/>
  <c r="D42" i="10"/>
  <c r="D49" i="10" s="1"/>
  <c r="D29" i="12"/>
  <c r="D33" i="12" s="1"/>
  <c r="D17" i="12"/>
  <c r="F29" i="12"/>
  <c r="F33" i="12" s="1"/>
  <c r="F35" i="12" s="1"/>
  <c r="G14" i="10"/>
  <c r="G24" i="10" s="1"/>
  <c r="G25" i="10" s="1"/>
  <c r="G40" i="10"/>
  <c r="D40" i="10"/>
  <c r="D47" i="10" s="1"/>
  <c r="C54" i="12"/>
  <c r="C39" i="12" s="1"/>
  <c r="G39" i="10"/>
  <c r="E45" i="11"/>
  <c r="E41" i="11" s="1"/>
  <c r="E39" i="11" s="1"/>
  <c r="G54" i="12"/>
  <c r="G39" i="12" s="1"/>
  <c r="D16" i="11"/>
  <c r="D43" i="11" s="1"/>
  <c r="F54" i="12"/>
  <c r="F39" i="12" s="1"/>
  <c r="G42" i="10"/>
  <c r="G51" i="10"/>
  <c r="G48" i="10" s="1"/>
  <c r="E35" i="12"/>
  <c r="D35" i="12"/>
  <c r="F14" i="10"/>
  <c r="F24" i="10" s="1"/>
  <c r="F25" i="10" s="1"/>
  <c r="C39" i="10"/>
  <c r="G43" i="10"/>
  <c r="E39" i="10"/>
  <c r="D44" i="11"/>
  <c r="E14" i="10"/>
  <c r="E24" i="10" s="1"/>
  <c r="E25" i="10" s="1"/>
  <c r="C40" i="10"/>
  <c r="F43" i="10"/>
  <c r="F41" i="10"/>
  <c r="D39" i="10"/>
  <c r="D59" i="12"/>
  <c r="D60" i="12" s="1"/>
  <c r="E30" i="10"/>
  <c r="C24" i="10"/>
  <c r="C25" i="10" s="1"/>
  <c r="C41" i="10"/>
  <c r="C48" i="10" s="1"/>
  <c r="E43" i="10"/>
  <c r="E41" i="10"/>
  <c r="E39" i="12"/>
  <c r="C43" i="10"/>
  <c r="C50" i="10" s="1"/>
  <c r="D43" i="10"/>
  <c r="D50" i="10" s="1"/>
  <c r="D41" i="10"/>
  <c r="D48" i="10" s="1"/>
  <c r="F51" i="10"/>
  <c r="F39" i="10"/>
  <c r="G16" i="11"/>
  <c r="G43" i="11" s="1"/>
  <c r="G45" i="11" s="1"/>
  <c r="G41" i="11" s="1"/>
  <c r="G39" i="11" s="1"/>
  <c r="C42" i="10"/>
  <c r="C49" i="10" s="1"/>
  <c r="E51" i="10"/>
  <c r="F42" i="10"/>
  <c r="H16" i="11"/>
  <c r="H43" i="11" s="1"/>
  <c r="E17" i="12"/>
  <c r="E21" i="12" s="1"/>
  <c r="E23" i="12" s="1"/>
  <c r="G29" i="12"/>
  <c r="G33" i="12" s="1"/>
  <c r="G35" i="12" s="1"/>
  <c r="E42" i="10"/>
  <c r="G59" i="12"/>
  <c r="E17" i="11"/>
  <c r="E33" i="11"/>
  <c r="D27" i="11"/>
  <c r="D18" i="11"/>
  <c r="F27" i="11"/>
  <c r="C27" i="11"/>
  <c r="G17" i="12"/>
  <c r="G21" i="12" s="1"/>
  <c r="G23" i="12" s="1"/>
  <c r="F17" i="12"/>
  <c r="F21" i="12" s="1"/>
  <c r="D21" i="12"/>
  <c r="D23" i="12" s="1"/>
  <c r="G27" i="11"/>
  <c r="F18" i="10"/>
  <c r="C18" i="10"/>
  <c r="F33" i="11"/>
  <c r="F34" i="10"/>
  <c r="F35" i="10" s="1"/>
  <c r="D14" i="10"/>
  <c r="D24" i="10" s="1"/>
  <c r="D25" i="10" s="1"/>
  <c r="E24" i="9"/>
  <c r="C20" i="9"/>
  <c r="C24" i="9"/>
  <c r="D26" i="9"/>
  <c r="C25" i="9"/>
  <c r="C26" i="1"/>
  <c r="C27" i="1" s="1"/>
  <c r="G18" i="9"/>
  <c r="G20" i="9" s="1"/>
  <c r="F18" i="9"/>
  <c r="D50" i="1"/>
  <c r="E18" i="9"/>
  <c r="E20" i="9" s="1"/>
  <c r="F13" i="7"/>
  <c r="G13" i="7"/>
  <c r="H13" i="7" s="1"/>
  <c r="I13" i="7" s="1"/>
  <c r="J13" i="7" s="1"/>
  <c r="K13" i="7" s="1"/>
  <c r="L13" i="7" s="1"/>
  <c r="D13" i="7"/>
  <c r="K50" i="1"/>
  <c r="J50" i="1"/>
  <c r="I50" i="1"/>
  <c r="K78" i="3"/>
  <c r="K54" i="3"/>
  <c r="F86" i="3"/>
  <c r="G86" i="3"/>
  <c r="D86" i="3"/>
  <c r="G27" i="1"/>
  <c r="G58" i="5" s="1"/>
  <c r="G23" i="5" s="1"/>
  <c r="F27" i="1"/>
  <c r="E50" i="1"/>
  <c r="E27" i="1"/>
  <c r="D27" i="1"/>
  <c r="G16" i="5" l="1"/>
  <c r="G50" i="5"/>
  <c r="G53" i="5"/>
  <c r="D39" i="12"/>
  <c r="F30" i="10"/>
  <c r="H41" i="10"/>
  <c r="E59" i="12"/>
  <c r="E60" i="12" s="1"/>
  <c r="G46" i="10"/>
  <c r="C58" i="12"/>
  <c r="E35" i="10"/>
  <c r="F59" i="12"/>
  <c r="H59" i="12" s="1"/>
  <c r="G35" i="10"/>
  <c r="D45" i="11"/>
  <c r="D41" i="11" s="1"/>
  <c r="D39" i="11" s="1"/>
  <c r="H39" i="11" s="1"/>
  <c r="C59" i="12"/>
  <c r="G58" i="12"/>
  <c r="G60" i="12" s="1"/>
  <c r="G18" i="10"/>
  <c r="D35" i="10"/>
  <c r="D33" i="11"/>
  <c r="F44" i="10"/>
  <c r="G30" i="10"/>
  <c r="D44" i="10"/>
  <c r="E18" i="10"/>
  <c r="G41" i="12"/>
  <c r="G45" i="12" s="1"/>
  <c r="G47" i="12" s="1"/>
  <c r="G49" i="10"/>
  <c r="D18" i="10"/>
  <c r="E41" i="12"/>
  <c r="E45" i="12" s="1"/>
  <c r="E47" i="12" s="1"/>
  <c r="F58" i="12"/>
  <c r="G44" i="10"/>
  <c r="H25" i="10"/>
  <c r="H23" i="10" s="1"/>
  <c r="H40" i="4" s="1"/>
  <c r="G47" i="10"/>
  <c r="F41" i="12"/>
  <c r="F45" i="12" s="1"/>
  <c r="F47" i="12" s="1"/>
  <c r="H40" i="10"/>
  <c r="E44" i="10"/>
  <c r="H33" i="12"/>
  <c r="H43" i="10"/>
  <c r="G50" i="10"/>
  <c r="F47" i="10"/>
  <c r="F48" i="10"/>
  <c r="F49" i="10"/>
  <c r="F50" i="10"/>
  <c r="F46" i="10"/>
  <c r="H39" i="10"/>
  <c r="C44" i="10"/>
  <c r="E49" i="10"/>
  <c r="E50" i="10"/>
  <c r="E46" i="10"/>
  <c r="E47" i="10"/>
  <c r="E48" i="10"/>
  <c r="D46" i="10"/>
  <c r="G33" i="11"/>
  <c r="D41" i="12"/>
  <c r="D45" i="12" s="1"/>
  <c r="H42" i="10"/>
  <c r="D30" i="10"/>
  <c r="H30" i="10" s="1"/>
  <c r="H29" i="10" s="1"/>
  <c r="H17" i="10" s="1"/>
  <c r="F23" i="12"/>
  <c r="H21" i="12"/>
  <c r="H17" i="12" s="1"/>
  <c r="H15" i="12" s="1"/>
  <c r="H23" i="12"/>
  <c r="L63" i="4"/>
  <c r="H15" i="7"/>
  <c r="C27" i="4"/>
  <c r="C32" i="4" s="1"/>
  <c r="C36" i="4" s="1"/>
  <c r="C67" i="4" s="1"/>
  <c r="C29" i="1"/>
  <c r="C31" i="1" s="1"/>
  <c r="C36" i="1" s="1"/>
  <c r="C52" i="1" s="1"/>
  <c r="G24" i="9"/>
  <c r="H20" i="9"/>
  <c r="F20" i="9"/>
  <c r="F25" i="9"/>
  <c r="H25" i="9" s="1"/>
  <c r="F23" i="9"/>
  <c r="F24" i="9"/>
  <c r="H24" i="9" s="1"/>
  <c r="G25" i="9"/>
  <c r="E23" i="9"/>
  <c r="E25" i="9"/>
  <c r="C26" i="9"/>
  <c r="G23" i="9"/>
  <c r="D29" i="1"/>
  <c r="D31" i="1" s="1"/>
  <c r="D36" i="1" s="1"/>
  <c r="D52" i="1" s="1"/>
  <c r="D15" i="4"/>
  <c r="D27" i="4" s="1"/>
  <c r="D32" i="4" s="1"/>
  <c r="D36" i="4" s="1"/>
  <c r="D67" i="4" s="1"/>
  <c r="G29" i="1"/>
  <c r="G15" i="4"/>
  <c r="I15" i="7"/>
  <c r="H14" i="1"/>
  <c r="H12" i="9" s="1"/>
  <c r="E29" i="1"/>
  <c r="E31" i="1" s="1"/>
  <c r="E36" i="1" s="1"/>
  <c r="E15" i="4"/>
  <c r="E27" i="4" s="1"/>
  <c r="E32" i="4" s="1"/>
  <c r="E36" i="4" s="1"/>
  <c r="E67" i="4" s="1"/>
  <c r="E45" i="3" s="1"/>
  <c r="E47" i="3" s="1"/>
  <c r="E87" i="3" s="1"/>
  <c r="F29" i="1"/>
  <c r="F31" i="1" s="1"/>
  <c r="F36" i="1" s="1"/>
  <c r="F52" i="1" s="1"/>
  <c r="F15" i="4"/>
  <c r="F27" i="4" s="1"/>
  <c r="F32" i="4" s="1"/>
  <c r="F36" i="4" s="1"/>
  <c r="F67" i="4" s="1"/>
  <c r="F45" i="3" s="1"/>
  <c r="F47" i="3" s="1"/>
  <c r="F87" i="3" s="1"/>
  <c r="L78" i="3"/>
  <c r="L54" i="3"/>
  <c r="L39" i="3"/>
  <c r="E52" i="1"/>
  <c r="G31" i="1" l="1"/>
  <c r="G17" i="5"/>
  <c r="G24" i="5"/>
  <c r="C60" i="12"/>
  <c r="G27" i="4"/>
  <c r="G32" i="4" s="1"/>
  <c r="G36" i="4" s="1"/>
  <c r="H35" i="10"/>
  <c r="H44" i="10"/>
  <c r="H33" i="11"/>
  <c r="H31" i="11" s="1"/>
  <c r="H57" i="4" s="1"/>
  <c r="H58" i="12"/>
  <c r="F60" i="12"/>
  <c r="H60" i="12" s="1"/>
  <c r="I25" i="10"/>
  <c r="I23" i="10" s="1"/>
  <c r="H15" i="10"/>
  <c r="J25" i="10"/>
  <c r="J23" i="10" s="1"/>
  <c r="J15" i="10" s="1"/>
  <c r="H42" i="4"/>
  <c r="H14" i="12"/>
  <c r="H29" i="4" s="1"/>
  <c r="H34" i="3"/>
  <c r="H35" i="12"/>
  <c r="H29" i="12"/>
  <c r="H27" i="12" s="1"/>
  <c r="H45" i="12"/>
  <c r="D47" i="12"/>
  <c r="I30" i="10"/>
  <c r="J30" i="10" s="1"/>
  <c r="I33" i="12"/>
  <c r="D70" i="4"/>
  <c r="D38" i="3" s="1"/>
  <c r="I21" i="12"/>
  <c r="I23" i="12" s="1"/>
  <c r="H29" i="9"/>
  <c r="H22" i="1" s="1"/>
  <c r="H34" i="9"/>
  <c r="H25" i="1" s="1"/>
  <c r="H18" i="9"/>
  <c r="H15" i="9" s="1"/>
  <c r="C38" i="3"/>
  <c r="F26" i="9"/>
  <c r="G26" i="9"/>
  <c r="E26" i="9"/>
  <c r="H23" i="9"/>
  <c r="H26" i="9" s="1"/>
  <c r="H16" i="9"/>
  <c r="H19" i="1" s="1"/>
  <c r="H12" i="1"/>
  <c r="J15" i="7"/>
  <c r="I14" i="1"/>
  <c r="I12" i="9" s="1"/>
  <c r="G67" i="4" l="1"/>
  <c r="G45" i="3" s="1"/>
  <c r="G47" i="3" s="1"/>
  <c r="G87" i="3" s="1"/>
  <c r="G45" i="5"/>
  <c r="G47" i="5"/>
  <c r="G46" i="5"/>
  <c r="G36" i="1"/>
  <c r="G59" i="5"/>
  <c r="G25" i="5"/>
  <c r="G12" i="13"/>
  <c r="H18" i="11"/>
  <c r="H20" i="11" s="1"/>
  <c r="H44" i="11" s="1"/>
  <c r="H45" i="11" s="1"/>
  <c r="H34" i="10"/>
  <c r="H16" i="10" s="1"/>
  <c r="H19" i="10" s="1"/>
  <c r="H51" i="10" s="1"/>
  <c r="K25" i="10"/>
  <c r="K23" i="10" s="1"/>
  <c r="K40" i="4" s="1"/>
  <c r="J40" i="4"/>
  <c r="K30" i="10"/>
  <c r="L30" i="10" s="1"/>
  <c r="I40" i="4"/>
  <c r="I15" i="10"/>
  <c r="K15" i="10"/>
  <c r="D45" i="3"/>
  <c r="D47" i="3" s="1"/>
  <c r="D87" i="3" s="1"/>
  <c r="H26" i="12"/>
  <c r="H30" i="4" s="1"/>
  <c r="H37" i="3"/>
  <c r="C45" i="3"/>
  <c r="C47" i="3" s="1"/>
  <c r="C87" i="3" s="1"/>
  <c r="J33" i="12"/>
  <c r="I29" i="12"/>
  <c r="I27" i="12" s="1"/>
  <c r="I35" i="12"/>
  <c r="H24" i="1"/>
  <c r="H17" i="4" s="1"/>
  <c r="H47" i="12"/>
  <c r="H41" i="12"/>
  <c r="H39" i="12" s="1"/>
  <c r="I14" i="10"/>
  <c r="I29" i="10" s="1"/>
  <c r="H41" i="11"/>
  <c r="H37" i="11"/>
  <c r="I16" i="11"/>
  <c r="H74" i="3"/>
  <c r="J21" i="12"/>
  <c r="J23" i="12" s="1"/>
  <c r="I17" i="12"/>
  <c r="I15" i="12" s="1"/>
  <c r="H46" i="10"/>
  <c r="H16" i="3" s="1"/>
  <c r="H48" i="10"/>
  <c r="H18" i="3" s="1"/>
  <c r="H47" i="10"/>
  <c r="H17" i="3" s="1"/>
  <c r="H49" i="10"/>
  <c r="H19" i="3" s="1"/>
  <c r="H50" i="10"/>
  <c r="H21" i="3" s="1"/>
  <c r="I29" i="9"/>
  <c r="I22" i="1" s="1"/>
  <c r="I18" i="9"/>
  <c r="I34" i="9"/>
  <c r="I25" i="1" s="1"/>
  <c r="H17" i="9"/>
  <c r="H20" i="1" s="1"/>
  <c r="H18" i="1"/>
  <c r="H21" i="1" s="1"/>
  <c r="I16" i="9"/>
  <c r="I19" i="1" s="1"/>
  <c r="I17" i="9"/>
  <c r="I20" i="1" s="1"/>
  <c r="I15" i="9"/>
  <c r="I18" i="1" s="1"/>
  <c r="I12" i="1"/>
  <c r="K15" i="7"/>
  <c r="J14" i="1"/>
  <c r="J12" i="9" s="1"/>
  <c r="G52" i="1" l="1"/>
  <c r="G51" i="5"/>
  <c r="G23" i="13"/>
  <c r="G24" i="13" s="1"/>
  <c r="G27" i="13" s="1"/>
  <c r="G41" i="9"/>
  <c r="G15" i="5"/>
  <c r="G22" i="5"/>
  <c r="L25" i="10"/>
  <c r="L23" i="10" s="1"/>
  <c r="I34" i="10"/>
  <c r="K21" i="12"/>
  <c r="L21" i="12" s="1"/>
  <c r="I39" i="12"/>
  <c r="H38" i="12"/>
  <c r="H31" i="4" s="1"/>
  <c r="H54" i="12"/>
  <c r="I14" i="12"/>
  <c r="I29" i="4" s="1"/>
  <c r="I34" i="3"/>
  <c r="I37" i="3"/>
  <c r="I26" i="12"/>
  <c r="I30" i="4" s="1"/>
  <c r="L15" i="10"/>
  <c r="L40" i="4"/>
  <c r="J35" i="12"/>
  <c r="J29" i="12"/>
  <c r="J27" i="12" s="1"/>
  <c r="K33" i="12"/>
  <c r="I16" i="10"/>
  <c r="I24" i="1"/>
  <c r="I17" i="4" s="1"/>
  <c r="I31" i="11"/>
  <c r="I43" i="11"/>
  <c r="H65" i="4"/>
  <c r="H23" i="1"/>
  <c r="H19" i="4" s="1"/>
  <c r="I17" i="10"/>
  <c r="I42" i="4"/>
  <c r="J17" i="12"/>
  <c r="J15" i="12" s="1"/>
  <c r="L23" i="12"/>
  <c r="L17" i="12"/>
  <c r="K23" i="12"/>
  <c r="K17" i="12"/>
  <c r="H30" i="3"/>
  <c r="J18" i="9"/>
  <c r="J17" i="9" s="1"/>
  <c r="J20" i="1" s="1"/>
  <c r="J29" i="9"/>
  <c r="J22" i="1" s="1"/>
  <c r="J34" i="9"/>
  <c r="J25" i="1" s="1"/>
  <c r="I21" i="1"/>
  <c r="J15" i="9"/>
  <c r="J18" i="1" s="1"/>
  <c r="J16" i="9"/>
  <c r="J19" i="1" s="1"/>
  <c r="J12" i="1"/>
  <c r="K14" i="1"/>
  <c r="K12" i="9" s="1"/>
  <c r="L15" i="7"/>
  <c r="L14" i="1" s="1"/>
  <c r="L12" i="9" s="1"/>
  <c r="G21" i="6" l="1"/>
  <c r="G13" i="13"/>
  <c r="H41" i="9"/>
  <c r="I41" i="9" s="1"/>
  <c r="K15" i="12"/>
  <c r="H51" i="12"/>
  <c r="H76" i="3" s="1"/>
  <c r="H52" i="12"/>
  <c r="H77" i="3" s="1"/>
  <c r="L15" i="12"/>
  <c r="K14" i="12"/>
  <c r="K29" i="4" s="1"/>
  <c r="K34" i="3"/>
  <c r="J14" i="12"/>
  <c r="J29" i="4" s="1"/>
  <c r="J34" i="3"/>
  <c r="I38" i="12"/>
  <c r="I31" i="4" s="1"/>
  <c r="I54" i="12"/>
  <c r="I51" i="12" s="1"/>
  <c r="I76" i="3" s="1"/>
  <c r="J39" i="12"/>
  <c r="K27" i="12"/>
  <c r="J37" i="3"/>
  <c r="J26" i="12"/>
  <c r="J30" i="4" s="1"/>
  <c r="L33" i="12"/>
  <c r="K35" i="12"/>
  <c r="K29" i="12"/>
  <c r="I19" i="10"/>
  <c r="J14" i="10" s="1"/>
  <c r="J29" i="10" s="1"/>
  <c r="H26" i="1"/>
  <c r="I18" i="11"/>
  <c r="I20" i="11" s="1"/>
  <c r="I57" i="4"/>
  <c r="L18" i="9"/>
  <c r="L15" i="9" s="1"/>
  <c r="L18" i="1" s="1"/>
  <c r="L34" i="9"/>
  <c r="L25" i="1" s="1"/>
  <c r="L29" i="9"/>
  <c r="L22" i="1" s="1"/>
  <c r="K18" i="9"/>
  <c r="K15" i="9" s="1"/>
  <c r="K18" i="1" s="1"/>
  <c r="K34" i="9"/>
  <c r="K25" i="1" s="1"/>
  <c r="K29" i="9"/>
  <c r="K22" i="1" s="1"/>
  <c r="K16" i="9"/>
  <c r="K19" i="1" s="1"/>
  <c r="K17" i="9"/>
  <c r="K20" i="1" s="1"/>
  <c r="J21" i="1"/>
  <c r="L16" i="9"/>
  <c r="L19" i="1" s="1"/>
  <c r="L17" i="9"/>
  <c r="L20" i="1" s="1"/>
  <c r="L12" i="1"/>
  <c r="K12" i="1"/>
  <c r="I21" i="6" l="1"/>
  <c r="I13" i="13"/>
  <c r="I31" i="13" s="1"/>
  <c r="I33" i="13" s="1"/>
  <c r="J41" i="9"/>
  <c r="H21" i="6"/>
  <c r="H13" i="13"/>
  <c r="H31" i="13" s="1"/>
  <c r="H33" i="13" s="1"/>
  <c r="G31" i="13"/>
  <c r="G33" i="13" s="1"/>
  <c r="G44" i="13" s="1"/>
  <c r="G15" i="13"/>
  <c r="G19" i="13" s="1"/>
  <c r="L35" i="12"/>
  <c r="L29" i="12"/>
  <c r="L27" i="12" s="1"/>
  <c r="L14" i="12"/>
  <c r="L29" i="4" s="1"/>
  <c r="L34" i="3"/>
  <c r="K39" i="12"/>
  <c r="J38" i="12"/>
  <c r="J31" i="4" s="1"/>
  <c r="J54" i="12"/>
  <c r="I52" i="12"/>
  <c r="I77" i="3" s="1"/>
  <c r="K37" i="3"/>
  <c r="K26" i="12"/>
  <c r="K30" i="4" s="1"/>
  <c r="J34" i="10"/>
  <c r="J16" i="10" s="1"/>
  <c r="I51" i="10"/>
  <c r="I46" i="10" s="1"/>
  <c r="I16" i="3" s="1"/>
  <c r="J17" i="10"/>
  <c r="J42" i="4"/>
  <c r="I44" i="11"/>
  <c r="I45" i="11" s="1"/>
  <c r="I74" i="3"/>
  <c r="J16" i="11"/>
  <c r="L21" i="1"/>
  <c r="K21" i="1"/>
  <c r="K41" i="9" l="1"/>
  <c r="J21" i="6"/>
  <c r="J13" i="13"/>
  <c r="J31" i="13" s="1"/>
  <c r="J33" i="13" s="1"/>
  <c r="L37" i="3"/>
  <c r="L26" i="12"/>
  <c r="L30" i="4" s="1"/>
  <c r="J52" i="12"/>
  <c r="J77" i="3" s="1"/>
  <c r="J51" i="12"/>
  <c r="J76" i="3" s="1"/>
  <c r="K38" i="12"/>
  <c r="K31" i="4" s="1"/>
  <c r="K54" i="12"/>
  <c r="L39" i="12"/>
  <c r="J19" i="10"/>
  <c r="J51" i="10" s="1"/>
  <c r="J50" i="10" s="1"/>
  <c r="J21" i="3" s="1"/>
  <c r="I47" i="10"/>
  <c r="I17" i="3" s="1"/>
  <c r="I49" i="10"/>
  <c r="I19" i="3" s="1"/>
  <c r="I48" i="10"/>
  <c r="I18" i="3" s="1"/>
  <c r="J24" i="1"/>
  <c r="J17" i="4" s="1"/>
  <c r="I50" i="10"/>
  <c r="I21" i="3" s="1"/>
  <c r="I30" i="3" s="1"/>
  <c r="I37" i="11"/>
  <c r="I60" i="4" s="1"/>
  <c r="I41" i="11"/>
  <c r="J31" i="11"/>
  <c r="J43" i="11"/>
  <c r="J46" i="10"/>
  <c r="J16" i="3" s="1"/>
  <c r="J47" i="10"/>
  <c r="J17" i="3" s="1"/>
  <c r="K21" i="6" l="1"/>
  <c r="K13" i="13"/>
  <c r="K31" i="13" s="1"/>
  <c r="K33" i="13" s="1"/>
  <c r="L41" i="9"/>
  <c r="K51" i="12"/>
  <c r="K76" i="3" s="1"/>
  <c r="K52" i="12"/>
  <c r="K77" i="3" s="1"/>
  <c r="L38" i="12"/>
  <c r="L31" i="4" s="1"/>
  <c r="L54" i="12"/>
  <c r="J48" i="10"/>
  <c r="J18" i="3" s="1"/>
  <c r="K14" i="10"/>
  <c r="K34" i="10" s="1"/>
  <c r="K16" i="10" s="1"/>
  <c r="J49" i="10"/>
  <c r="J19" i="3" s="1"/>
  <c r="J30" i="3" s="1"/>
  <c r="K29" i="10"/>
  <c r="K42" i="4" s="1"/>
  <c r="J18" i="11"/>
  <c r="J20" i="11" s="1"/>
  <c r="J57" i="4"/>
  <c r="I65" i="4"/>
  <c r="I23" i="1"/>
  <c r="L21" i="6" l="1"/>
  <c r="L13" i="13"/>
  <c r="L31" i="13" s="1"/>
  <c r="L33" i="13" s="1"/>
  <c r="K24" i="1"/>
  <c r="K17" i="4" s="1"/>
  <c r="L51" i="12"/>
  <c r="L76" i="3" s="1"/>
  <c r="L52" i="12"/>
  <c r="L77" i="3" s="1"/>
  <c r="K17" i="10"/>
  <c r="K19" i="10" s="1"/>
  <c r="L14" i="10" s="1"/>
  <c r="I19" i="4"/>
  <c r="I26" i="1"/>
  <c r="J44" i="11"/>
  <c r="J45" i="11" s="1"/>
  <c r="K16" i="11"/>
  <c r="J74" i="3"/>
  <c r="J84" i="3" s="1"/>
  <c r="L29" i="10" l="1"/>
  <c r="L17" i="10" s="1"/>
  <c r="L34" i="10"/>
  <c r="L16" i="10" s="1"/>
  <c r="K51" i="10"/>
  <c r="K31" i="11"/>
  <c r="K43" i="11"/>
  <c r="J37" i="11"/>
  <c r="J60" i="4" s="1"/>
  <c r="J41" i="11"/>
  <c r="L24" i="1" l="1"/>
  <c r="L17" i="4" s="1"/>
  <c r="L42" i="4"/>
  <c r="K50" i="10"/>
  <c r="K21" i="3" s="1"/>
  <c r="K47" i="10"/>
  <c r="K17" i="3" s="1"/>
  <c r="K49" i="10"/>
  <c r="K19" i="3" s="1"/>
  <c r="K48" i="10"/>
  <c r="K18" i="3" s="1"/>
  <c r="K46" i="10"/>
  <c r="K16" i="3" s="1"/>
  <c r="L19" i="10"/>
  <c r="L51" i="10" s="1"/>
  <c r="L48" i="10" s="1"/>
  <c r="L18" i="3" s="1"/>
  <c r="K18" i="11"/>
  <c r="K20" i="11" s="1"/>
  <c r="K57" i="4"/>
  <c r="J65" i="4"/>
  <c r="J23" i="1"/>
  <c r="K30" i="3" l="1"/>
  <c r="L47" i="10"/>
  <c r="L17" i="3" s="1"/>
  <c r="L50" i="10"/>
  <c r="L21" i="3" s="1"/>
  <c r="L46" i="10"/>
  <c r="L16" i="3" s="1"/>
  <c r="L49" i="10"/>
  <c r="L19" i="3" s="1"/>
  <c r="L30" i="3" s="1"/>
  <c r="K44" i="11"/>
  <c r="K45" i="11" s="1"/>
  <c r="K74" i="3"/>
  <c r="K84" i="3" s="1"/>
  <c r="L16" i="11"/>
  <c r="J19" i="4"/>
  <c r="J26" i="1"/>
  <c r="L31" i="11" l="1"/>
  <c r="L43" i="11"/>
  <c r="K37" i="11"/>
  <c r="K60" i="4" s="1"/>
  <c r="K41" i="11"/>
  <c r="K65" i="4" l="1"/>
  <c r="K23" i="1"/>
  <c r="L18" i="11"/>
  <c r="L20" i="11" s="1"/>
  <c r="L57" i="4"/>
  <c r="L74" i="3" l="1"/>
  <c r="L84" i="3" s="1"/>
  <c r="L44" i="11"/>
  <c r="L45" i="11" s="1"/>
  <c r="K19" i="4"/>
  <c r="K26" i="1"/>
  <c r="L37" i="11" l="1"/>
  <c r="L60" i="4" s="1"/>
  <c r="L41" i="11"/>
  <c r="L65" i="4" l="1"/>
  <c r="L23" i="1"/>
  <c r="L19" i="4" l="1"/>
  <c r="L26" i="1"/>
  <c r="H69" i="3" l="1"/>
  <c r="J69" i="3"/>
  <c r="K69" i="3"/>
  <c r="H50" i="4"/>
  <c r="I50" i="4"/>
  <c r="J50" i="4"/>
  <c r="K50" i="4"/>
  <c r="L50" i="4"/>
  <c r="H16" i="1"/>
  <c r="H27" i="1" s="1"/>
  <c r="H29" i="1" l="1"/>
  <c r="H58" i="5"/>
  <c r="H15" i="4"/>
  <c r="H27" i="4" s="1"/>
  <c r="H32" i="4" s="1"/>
  <c r="H23" i="5" l="1"/>
  <c r="H16" i="5"/>
  <c r="H50" i="5"/>
  <c r="H53" i="5"/>
  <c r="H31" i="1"/>
  <c r="H17" i="5"/>
  <c r="H24" i="5"/>
  <c r="H59" i="5" l="1"/>
  <c r="H12" i="13"/>
  <c r="H15" i="13" s="1"/>
  <c r="H19" i="13" s="1"/>
  <c r="H39" i="9"/>
  <c r="H46" i="9" s="1"/>
  <c r="H45" i="3"/>
  <c r="H34" i="4" l="1"/>
  <c r="H36" i="4" s="1"/>
  <c r="H44" i="9"/>
  <c r="H33" i="1" s="1"/>
  <c r="H45" i="9"/>
  <c r="H34" i="1" s="1"/>
  <c r="H15" i="5"/>
  <c r="H22" i="5"/>
  <c r="I16" i="1"/>
  <c r="I27" i="1" s="1"/>
  <c r="J16" i="1"/>
  <c r="J27" i="1" s="1"/>
  <c r="K16" i="1"/>
  <c r="K27" i="1" s="1"/>
  <c r="K58" i="5" s="1"/>
  <c r="L16" i="1"/>
  <c r="L27" i="1" s="1"/>
  <c r="L58" i="5" s="1"/>
  <c r="J15" i="4" l="1"/>
  <c r="J27" i="4" s="1"/>
  <c r="J32" i="4" s="1"/>
  <c r="J58" i="5"/>
  <c r="I29" i="1"/>
  <c r="I58" i="5"/>
  <c r="H35" i="1"/>
  <c r="K23" i="5"/>
  <c r="K16" i="5"/>
  <c r="K53" i="5"/>
  <c r="L23" i="5"/>
  <c r="L53" i="5"/>
  <c r="L16" i="5"/>
  <c r="L50" i="5"/>
  <c r="H67" i="4"/>
  <c r="H45" i="5"/>
  <c r="H47" i="5"/>
  <c r="H46" i="5"/>
  <c r="K15" i="4"/>
  <c r="K27" i="4" s="1"/>
  <c r="K32" i="4" s="1"/>
  <c r="K29" i="1"/>
  <c r="J29" i="1"/>
  <c r="L15" i="4"/>
  <c r="L27" i="4" s="1"/>
  <c r="L32" i="4" s="1"/>
  <c r="L29" i="1"/>
  <c r="I15" i="4"/>
  <c r="I27" i="4" s="1"/>
  <c r="I32" i="4" s="1"/>
  <c r="H36" i="1" l="1"/>
  <c r="H25" i="5"/>
  <c r="I23" i="5"/>
  <c r="I53" i="5"/>
  <c r="I50" i="5"/>
  <c r="I16" i="5"/>
  <c r="N16" i="5" s="1"/>
  <c r="J31" i="1"/>
  <c r="J24" i="5"/>
  <c r="J17" i="5"/>
  <c r="I31" i="1"/>
  <c r="I24" i="5"/>
  <c r="I17" i="5"/>
  <c r="J23" i="5"/>
  <c r="J53" i="5"/>
  <c r="J16" i="5"/>
  <c r="K31" i="1"/>
  <c r="K17" i="5"/>
  <c r="K24" i="5"/>
  <c r="L31" i="1"/>
  <c r="L17" i="5"/>
  <c r="L24" i="5"/>
  <c r="J39" i="9" l="1"/>
  <c r="J46" i="9" s="1"/>
  <c r="J12" i="13"/>
  <c r="J15" i="13" s="1"/>
  <c r="J19" i="13" s="1"/>
  <c r="J59" i="5"/>
  <c r="N53" i="5"/>
  <c r="N23" i="5"/>
  <c r="N17" i="5"/>
  <c r="I59" i="5"/>
  <c r="I12" i="13"/>
  <c r="I15" i="13" s="1"/>
  <c r="I19" i="13" s="1"/>
  <c r="I39" i="9"/>
  <c r="I46" i="9" s="1"/>
  <c r="L12" i="13"/>
  <c r="L15" i="13" s="1"/>
  <c r="L19" i="13" s="1"/>
  <c r="L59" i="5"/>
  <c r="L39" i="9"/>
  <c r="L46" i="9" s="1"/>
  <c r="L45" i="9" s="1"/>
  <c r="L34" i="1" s="1"/>
  <c r="N24" i="5"/>
  <c r="K12" i="13"/>
  <c r="K15" i="13" s="1"/>
  <c r="K19" i="13" s="1"/>
  <c r="K59" i="5"/>
  <c r="K39" i="9"/>
  <c r="K46" i="9" s="1"/>
  <c r="H52" i="1"/>
  <c r="H51" i="5"/>
  <c r="H23" i="13"/>
  <c r="H24" i="13" s="1"/>
  <c r="H27" i="13" s="1"/>
  <c r="L34" i="4" l="1"/>
  <c r="L36" i="4" s="1"/>
  <c r="L44" i="9"/>
  <c r="L33" i="1" s="1"/>
  <c r="J15" i="5"/>
  <c r="J22" i="5"/>
  <c r="I15" i="5"/>
  <c r="N15" i="5" s="1"/>
  <c r="I22" i="5"/>
  <c r="L22" i="5"/>
  <c r="L15" i="5"/>
  <c r="I45" i="9"/>
  <c r="I34" i="1" s="1"/>
  <c r="I44" i="9"/>
  <c r="I33" i="1" s="1"/>
  <c r="I34" i="4"/>
  <c r="I36" i="4" s="1"/>
  <c r="K44" i="9"/>
  <c r="K33" i="1" s="1"/>
  <c r="K34" i="4"/>
  <c r="K36" i="4" s="1"/>
  <c r="K45" i="9"/>
  <c r="K34" i="1" s="1"/>
  <c r="K22" i="5"/>
  <c r="K15" i="5"/>
  <c r="J45" i="9"/>
  <c r="J34" i="1" s="1"/>
  <c r="J34" i="4"/>
  <c r="J36" i="4" s="1"/>
  <c r="J44" i="9"/>
  <c r="J33" i="1" s="1"/>
  <c r="J35" i="1" s="1"/>
  <c r="L38" i="3"/>
  <c r="L35" i="1"/>
  <c r="L45" i="3"/>
  <c r="L47" i="3" s="1"/>
  <c r="K46" i="5" l="1"/>
  <c r="K45" i="5"/>
  <c r="K47" i="5"/>
  <c r="K35" i="1"/>
  <c r="N22" i="5"/>
  <c r="I35" i="1"/>
  <c r="J36" i="1"/>
  <c r="J25" i="5"/>
  <c r="I45" i="5"/>
  <c r="I47" i="5"/>
  <c r="I46" i="5"/>
  <c r="J67" i="4"/>
  <c r="J70" i="4" s="1"/>
  <c r="J45" i="5"/>
  <c r="J47" i="5"/>
  <c r="L36" i="1"/>
  <c r="L25" i="5"/>
  <c r="L47" i="5"/>
  <c r="L46" i="5"/>
  <c r="L45" i="5"/>
  <c r="K45" i="3"/>
  <c r="K47" i="3" s="1"/>
  <c r="J52" i="1" l="1"/>
  <c r="J51" i="5"/>
  <c r="J23" i="13"/>
  <c r="J24" i="13" s="1"/>
  <c r="J27" i="13" s="1"/>
  <c r="I36" i="1"/>
  <c r="I25" i="5"/>
  <c r="N25" i="5" s="1"/>
  <c r="L52" i="1"/>
  <c r="L51" i="5"/>
  <c r="L23" i="13"/>
  <c r="L24" i="13" s="1"/>
  <c r="L27" i="13" s="1"/>
  <c r="K36" i="1"/>
  <c r="K25" i="5"/>
  <c r="N47" i="5"/>
  <c r="K68" i="4"/>
  <c r="J38" i="3"/>
  <c r="J45" i="3" s="1"/>
  <c r="N45" i="5"/>
  <c r="J47" i="3" l="1"/>
  <c r="J56" i="5"/>
  <c r="J29" i="5"/>
  <c r="N29" i="5" s="1"/>
  <c r="J28" i="5"/>
  <c r="N28" i="5" s="1"/>
  <c r="I52" i="1"/>
  <c r="H55" i="3" s="1"/>
  <c r="I51" i="5"/>
  <c r="N51" i="5" s="1"/>
  <c r="I23" i="13"/>
  <c r="I24" i="13" s="1"/>
  <c r="I27" i="13" s="1"/>
  <c r="K52" i="1"/>
  <c r="K51" i="5"/>
  <c r="K23" i="13"/>
  <c r="K24" i="13" s="1"/>
  <c r="K27" i="13" s="1"/>
  <c r="K57" i="5" l="1"/>
  <c r="K50" i="5" s="1"/>
  <c r="J57" i="5"/>
  <c r="J50" i="5" s="1"/>
  <c r="N50" i="5" s="1"/>
  <c r="J35" i="5"/>
  <c r="N35" i="5" s="1"/>
  <c r="J46" i="5"/>
  <c r="N46" i="5" s="1"/>
  <c r="H56" i="3"/>
  <c r="I55" i="3"/>
  <c r="I56" i="3" l="1"/>
  <c r="J55" i="3"/>
  <c r="H58" i="3"/>
  <c r="H36" i="13"/>
  <c r="G52" i="5"/>
  <c r="H52" i="5"/>
  <c r="H86" i="3" l="1"/>
  <c r="H87" i="3" s="1"/>
  <c r="I58" i="3"/>
  <c r="I86" i="3" s="1"/>
  <c r="I87" i="3" s="1"/>
  <c r="I36" i="13"/>
  <c r="I52" i="5"/>
  <c r="H38" i="13"/>
  <c r="H40" i="13" s="1"/>
  <c r="H44" i="13" s="1"/>
  <c r="H41" i="13"/>
  <c r="H42" i="13" s="1"/>
  <c r="J56" i="3"/>
  <c r="K55" i="3"/>
  <c r="I38" i="13" l="1"/>
  <c r="I40" i="13" s="1"/>
  <c r="L55" i="3"/>
  <c r="L56" i="3" s="1"/>
  <c r="K56" i="3"/>
  <c r="J58" i="3"/>
  <c r="J86" i="3" s="1"/>
  <c r="J87" i="3" s="1"/>
  <c r="J36" i="13"/>
  <c r="J38" i="13" l="1"/>
  <c r="J40" i="13" s="1"/>
  <c r="K58" i="3"/>
  <c r="K36" i="13"/>
  <c r="K52" i="5"/>
  <c r="I41" i="13"/>
  <c r="I44" i="13" s="1"/>
  <c r="L58" i="3"/>
  <c r="L86" i="3" s="1"/>
  <c r="L87" i="3" s="1"/>
  <c r="L36" i="13"/>
  <c r="L52" i="5"/>
  <c r="J52" i="5"/>
  <c r="N52" i="5" s="1"/>
  <c r="K38" i="13" l="1"/>
  <c r="K40" i="13" s="1"/>
  <c r="K86" i="3"/>
  <c r="K87" i="3" s="1"/>
  <c r="L38" i="13"/>
  <c r="L40" i="13" s="1"/>
  <c r="J44" i="13"/>
  <c r="I42" i="13"/>
  <c r="J41" i="13"/>
  <c r="J42" i="13" s="1"/>
  <c r="K41" i="13" l="1"/>
  <c r="L42" i="13"/>
  <c r="L41" i="13"/>
  <c r="L44" i="13" s="1"/>
  <c r="G46" i="13" s="1"/>
  <c r="K44" i="13"/>
  <c r="K42" i="13"/>
  <c r="G48" i="13" l="1"/>
  <c r="L51" i="13"/>
  <c r="G54" i="13" s="1"/>
  <c r="G56" i="13" s="1"/>
  <c r="G60" i="13" s="1"/>
  <c r="G63"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63" authorId="0" shapeId="0" xr:uid="{8BC53D75-ED30-4EEC-B96A-6C62EA3CB2CE}">
      <text>
        <r>
          <rPr>
            <b/>
            <sz val="9"/>
            <color indexed="81"/>
            <rFont val="Tahoma"/>
            <family val="2"/>
          </rPr>
          <t>Shreya :
Marico is regular in paying dividend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14" authorId="0" shapeId="0" xr:uid="{17485C50-9283-41C2-A613-57DBEC275C89}">
      <text>
        <r>
          <rPr>
            <sz val="9"/>
            <color indexed="81"/>
            <rFont val="Tahoma"/>
            <family val="2"/>
          </rPr>
          <t xml:space="preserve">Shreya :
Growth rate of 10% is assumed
</t>
        </r>
      </text>
    </comment>
    <comment ref="H17" authorId="0" shapeId="0" xr:uid="{96B1F08F-B857-499D-9292-2CF301C267D8}">
      <text>
        <r>
          <rPr>
            <sz val="9"/>
            <color indexed="81"/>
            <rFont val="Tahoma"/>
            <family val="2"/>
          </rPr>
          <t xml:space="preserve">Shreya :
Average of pasy 5 years is taken
</t>
        </r>
      </text>
    </comment>
    <comment ref="H19" authorId="0" shapeId="0" xr:uid="{7FAB2D94-6D33-45EA-B122-9053E12D0FCF}">
      <text>
        <r>
          <rPr>
            <sz val="9"/>
            <color indexed="81"/>
            <rFont val="Tahoma"/>
            <family val="2"/>
          </rPr>
          <t xml:space="preserve">Shreya :
Average of pasy 5 years is taken
</t>
        </r>
      </text>
    </comment>
    <comment ref="H21" authorId="0" shapeId="0" xr:uid="{4B70EFF9-8C16-47A6-BF01-A915FFF8E5F4}">
      <text>
        <r>
          <rPr>
            <sz val="9"/>
            <color indexed="81"/>
            <rFont val="Tahoma"/>
            <family val="2"/>
          </rPr>
          <t xml:space="preserve">Shreya :
Average of past 5 years is taken
</t>
        </r>
      </text>
    </comment>
    <comment ref="H23" authorId="0" shapeId="0" xr:uid="{2A4E4A94-7080-42CC-916A-51903C42B030}">
      <text>
        <r>
          <rPr>
            <sz val="9"/>
            <color indexed="81"/>
            <rFont val="Tahoma"/>
            <family val="2"/>
          </rPr>
          <t xml:space="preserve">Shreya :
Average of past 5 years is taken
</t>
        </r>
      </text>
    </comment>
    <comment ref="H26" authorId="0" shapeId="0" xr:uid="{37888C32-3877-405D-958A-3AE57E44E98A}">
      <text>
        <r>
          <rPr>
            <sz val="9"/>
            <color indexed="81"/>
            <rFont val="Tahoma"/>
            <family val="2"/>
          </rPr>
          <t xml:space="preserve">Shreya :
Average of past 5 years is taken
</t>
        </r>
      </text>
    </comment>
    <comment ref="H28" authorId="0" shapeId="0" xr:uid="{92CBA607-BA09-44BD-99A5-B1E7DBB8FD81}">
      <text>
        <r>
          <rPr>
            <sz val="9"/>
            <color indexed="81"/>
            <rFont val="Tahoma"/>
            <family val="2"/>
          </rPr>
          <t xml:space="preserve">Shreya :
Average of past 5 years is taken
</t>
        </r>
      </text>
    </comment>
    <comment ref="H30" authorId="0" shapeId="0" xr:uid="{326E36A7-4591-42FA-B444-F895F9F573E8}">
      <text>
        <r>
          <rPr>
            <sz val="9"/>
            <color indexed="81"/>
            <rFont val="Tahoma"/>
            <family val="2"/>
          </rPr>
          <t xml:space="preserve">Shreya :
Average of past 5 years is taken
</t>
        </r>
      </text>
    </comment>
    <comment ref="H33" authorId="0" shapeId="0" xr:uid="{44BD8127-42DB-494B-A614-5837E54A67E9}">
      <text>
        <r>
          <rPr>
            <sz val="9"/>
            <color indexed="81"/>
            <rFont val="Tahoma"/>
            <family val="2"/>
          </rPr>
          <t xml:space="preserve">Shreya :
Average of past 5 years is taken
</t>
        </r>
      </text>
    </comment>
    <comment ref="H35" authorId="0" shapeId="0" xr:uid="{F00E3B34-FCD9-422C-A6A7-569D0F666126}">
      <text>
        <r>
          <rPr>
            <sz val="9"/>
            <color indexed="81"/>
            <rFont val="Tahoma"/>
            <family val="2"/>
          </rPr>
          <t xml:space="preserve">Shreya :
Average of past 5 years is taken
</t>
        </r>
      </text>
    </comment>
    <comment ref="H37" authorId="0" shapeId="0" xr:uid="{81893ECA-EA7B-4A43-ABEA-1C31AF9820E4}">
      <text>
        <r>
          <rPr>
            <sz val="9"/>
            <color indexed="81"/>
            <rFont val="Tahoma"/>
            <family val="2"/>
          </rPr>
          <t xml:space="preserve">Shreya :
Average of past 5 years is taken
</t>
        </r>
      </text>
    </comment>
    <comment ref="H40" authorId="0" shapeId="0" xr:uid="{20FBF611-8379-49AE-804D-1C1B8E7C77CB}">
      <text>
        <r>
          <rPr>
            <sz val="9"/>
            <color indexed="81"/>
            <rFont val="Tahoma"/>
            <family val="2"/>
          </rPr>
          <t xml:space="preserve">Shreya :
Average of past 5 years is taken
</t>
        </r>
      </text>
    </comment>
    <comment ref="H42" authorId="0" shapeId="0" xr:uid="{3562595A-18A5-4752-84B6-F946EA292B25}">
      <text>
        <r>
          <rPr>
            <sz val="9"/>
            <color indexed="81"/>
            <rFont val="Tahoma"/>
            <family val="2"/>
          </rPr>
          <t xml:space="preserve">Shreya :
Average of past 5 years is taken
</t>
        </r>
      </text>
    </comment>
    <comment ref="H44" authorId="0" shapeId="0" xr:uid="{05266B75-57F9-48FE-8B81-D39BAD12272F}">
      <text>
        <r>
          <rPr>
            <sz val="9"/>
            <color indexed="81"/>
            <rFont val="Tahoma"/>
            <family val="2"/>
          </rPr>
          <t xml:space="preserve">Shreya :
Average of past 5 years is taken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13" authorId="0" shapeId="0" xr:uid="{BD90ACCB-E309-45F4-AFBB-46DEC6DEB841}">
      <text>
        <r>
          <rPr>
            <b/>
            <sz val="9"/>
            <color indexed="81"/>
            <rFont val="Tahoma"/>
            <family val="2"/>
          </rPr>
          <t xml:space="preserve">Shreya :
</t>
        </r>
        <r>
          <rPr>
            <sz val="9"/>
            <color indexed="81"/>
            <rFont val="Tahoma"/>
            <family val="2"/>
          </rPr>
          <t xml:space="preserve">Growth rate of 10% is assumed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0" authorId="0" shapeId="0" xr:uid="{0183670F-85B3-471E-9E6F-9E82269F6ECB}">
      <text>
        <r>
          <rPr>
            <b/>
            <sz val="9"/>
            <color indexed="81"/>
            <rFont val="Tahoma"/>
            <family val="2"/>
          </rPr>
          <t xml:space="preserve">Shreya :
</t>
        </r>
        <r>
          <rPr>
            <sz val="9"/>
            <color indexed="81"/>
            <rFont val="Tahoma"/>
            <family val="2"/>
          </rPr>
          <t xml:space="preserve">Average of last 5 years is taken 
</t>
        </r>
      </text>
    </comment>
    <comment ref="H31" authorId="0" shapeId="0" xr:uid="{6A03F76B-5263-43CC-92F2-CC1EE0E4D90F}">
      <text>
        <r>
          <rPr>
            <b/>
            <sz val="9"/>
            <color indexed="81"/>
            <rFont val="Tahoma"/>
            <family val="2"/>
          </rPr>
          <t xml:space="preserve">Shreya :
Average of last 5 years is taken
</t>
        </r>
        <r>
          <rPr>
            <sz val="9"/>
            <color indexed="81"/>
            <rFont val="Tahoma"/>
            <family val="2"/>
          </rPr>
          <t xml:space="preserve">
</t>
        </r>
      </text>
    </comment>
    <comment ref="H36" authorId="0" shapeId="0" xr:uid="{80C9E79D-B22B-4C0F-94FE-F4A0EE9DB4D1}">
      <text>
        <r>
          <rPr>
            <b/>
            <sz val="9"/>
            <color indexed="81"/>
            <rFont val="Tahoma"/>
            <family val="2"/>
          </rPr>
          <t xml:space="preserve">Shreya :
Average of last 5 years is taken
</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5" authorId="0" shapeId="0" xr:uid="{FDE62971-F67D-4574-AA76-C070D2A92AF7}">
      <text>
        <r>
          <rPr>
            <b/>
            <sz val="9"/>
            <color indexed="81"/>
            <rFont val="Tahoma"/>
            <family val="2"/>
          </rPr>
          <t xml:space="preserve">Shreya :
Average of past 5 years is taken </t>
        </r>
        <r>
          <rPr>
            <sz val="9"/>
            <color indexed="81"/>
            <rFont val="Tahoma"/>
            <family val="2"/>
          </rPr>
          <t xml:space="preserve">
</t>
        </r>
      </text>
    </comment>
    <comment ref="H30" authorId="0" shapeId="0" xr:uid="{375F43E7-DDCA-4956-AD5C-7EAE70850268}">
      <text>
        <r>
          <rPr>
            <b/>
            <sz val="9"/>
            <color indexed="81"/>
            <rFont val="Tahoma"/>
            <family val="2"/>
          </rPr>
          <t xml:space="preserve">Shreya :
Average of past 5 years is taken </t>
        </r>
        <r>
          <rPr>
            <sz val="9"/>
            <color indexed="81"/>
            <rFont val="Tahoma"/>
            <family val="2"/>
          </rPr>
          <t xml:space="preserve">
</t>
        </r>
      </text>
    </comment>
    <comment ref="H35" authorId="0" shapeId="0" xr:uid="{AC0CA3E0-C746-4458-998C-AC0A538AD422}">
      <text>
        <r>
          <rPr>
            <b/>
            <sz val="9"/>
            <color indexed="81"/>
            <rFont val="Tahoma"/>
            <family val="2"/>
          </rPr>
          <t>Shreya :
Average of past 5 years is taken</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7" authorId="0" shapeId="0" xr:uid="{C8E580D0-3C34-4742-BEA1-B663BA624FA9}">
      <text>
        <r>
          <rPr>
            <b/>
            <sz val="9"/>
            <color indexed="81"/>
            <rFont val="Tahoma"/>
            <family val="2"/>
          </rPr>
          <t>Shreya :
Average of past 5 years is taken</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Chunnu Ki Dukaan</author>
  </authors>
  <commentList>
    <comment ref="H21" authorId="0" shapeId="0" xr:uid="{D7E184CD-633B-4B20-8CE2-63B365F87E67}">
      <text>
        <r>
          <rPr>
            <b/>
            <sz val="9"/>
            <color indexed="81"/>
            <rFont val="Tahoma"/>
            <family val="2"/>
          </rPr>
          <t>Shreya :
Average of past 5 years is taken</t>
        </r>
        <r>
          <rPr>
            <sz val="9"/>
            <color indexed="81"/>
            <rFont val="Tahoma"/>
            <family val="2"/>
          </rPr>
          <t xml:space="preserve">
</t>
        </r>
      </text>
    </comment>
  </commentList>
</comments>
</file>

<file path=xl/sharedStrings.xml><?xml version="1.0" encoding="utf-8"?>
<sst xmlns="http://schemas.openxmlformats.org/spreadsheetml/2006/main" count="540" uniqueCount="348">
  <si>
    <t xml:space="preserve">     ARICO LTD</t>
  </si>
  <si>
    <t>PARTICULARS</t>
  </si>
  <si>
    <t>2021 A</t>
  </si>
  <si>
    <t>2022 A</t>
  </si>
  <si>
    <t>2023A</t>
  </si>
  <si>
    <t>2024A</t>
  </si>
  <si>
    <t>2025A</t>
  </si>
  <si>
    <t>Revenue from operations</t>
  </si>
  <si>
    <t xml:space="preserve">Other income </t>
  </si>
  <si>
    <t>Total Income</t>
  </si>
  <si>
    <r>
      <rPr>
        <b/>
        <sz val="11"/>
        <color rgb="FF00B050"/>
        <rFont val="Calibri"/>
        <family val="2"/>
      </rPr>
      <t>Revenue</t>
    </r>
    <r>
      <rPr>
        <b/>
        <sz val="11"/>
        <color theme="1"/>
        <rFont val="Calibri"/>
        <family val="2"/>
      </rPr>
      <t xml:space="preserve"> :</t>
    </r>
  </si>
  <si>
    <t>Expenses :</t>
  </si>
  <si>
    <t>Cost of material consumed</t>
  </si>
  <si>
    <t>Purchases of stock in trade</t>
  </si>
  <si>
    <t xml:space="preserve">Changes in inventories of finished goods , stock in trade and work in progress </t>
  </si>
  <si>
    <t>COGS</t>
  </si>
  <si>
    <r>
      <t xml:space="preserve">2026 </t>
    </r>
    <r>
      <rPr>
        <b/>
        <sz val="12"/>
        <color rgb="FFFF0000"/>
        <rFont val="Calibri"/>
        <family val="2"/>
      </rPr>
      <t>E</t>
    </r>
  </si>
  <si>
    <r>
      <t xml:space="preserve">2027 </t>
    </r>
    <r>
      <rPr>
        <b/>
        <sz val="12"/>
        <color rgb="FFFF0000"/>
        <rFont val="Calibri"/>
        <family val="2"/>
      </rPr>
      <t>E</t>
    </r>
  </si>
  <si>
    <r>
      <t xml:space="preserve">2028 </t>
    </r>
    <r>
      <rPr>
        <b/>
        <sz val="12"/>
        <color rgb="FFFF0000"/>
        <rFont val="Calibri"/>
        <family val="2"/>
      </rPr>
      <t xml:space="preserve">E </t>
    </r>
  </si>
  <si>
    <r>
      <t xml:space="preserve">2029 </t>
    </r>
    <r>
      <rPr>
        <b/>
        <sz val="12"/>
        <color rgb="FFFF0000"/>
        <rFont val="Calibri"/>
        <family val="2"/>
      </rPr>
      <t>E</t>
    </r>
  </si>
  <si>
    <r>
      <t xml:space="preserve">2030 </t>
    </r>
    <r>
      <rPr>
        <b/>
        <sz val="12"/>
        <color rgb="FFFF0000"/>
        <rFont val="Calibri"/>
        <family val="2"/>
      </rPr>
      <t>E</t>
    </r>
  </si>
  <si>
    <t>Finance Costs</t>
  </si>
  <si>
    <t>Depreciation and amortisation</t>
  </si>
  <si>
    <t>Other expenses</t>
  </si>
  <si>
    <t>Employee benefit expense</t>
  </si>
  <si>
    <t>Total Expenses</t>
  </si>
  <si>
    <t>Profit before share of net profits of investments and exceptional items</t>
  </si>
  <si>
    <t>Share of net gain/(loss) of joint ventures</t>
  </si>
  <si>
    <t xml:space="preserve">Profit before exceptional items </t>
  </si>
  <si>
    <t>Exceptional Items</t>
  </si>
  <si>
    <t>Profit before Tax</t>
  </si>
  <si>
    <t>Income Tax Expense</t>
  </si>
  <si>
    <t>(a) Current Tax</t>
  </si>
  <si>
    <t>(b) Deffered Tax</t>
  </si>
  <si>
    <t>Total Tax</t>
  </si>
  <si>
    <t>Items that will not be reclassified to profit or loss</t>
  </si>
  <si>
    <t>Remeasurements of post employmet benefit obligations</t>
  </si>
  <si>
    <t>Income tax relating to items that will not be reclassified to profit or loss</t>
  </si>
  <si>
    <t>Total</t>
  </si>
  <si>
    <t>Other Comprehensive Income :</t>
  </si>
  <si>
    <t>Items that will be reclassified to profit or loss</t>
  </si>
  <si>
    <t xml:space="preserve">Exchange differences on translation of foreign obligations </t>
  </si>
  <si>
    <t xml:space="preserve">Change in fair value of hedging intruments </t>
  </si>
  <si>
    <t>Income tax relating to items that will be reclassified to profit or loss</t>
  </si>
  <si>
    <t>Profit for the year  (A)</t>
  </si>
  <si>
    <t>Other comprehensive income for the year (B)</t>
  </si>
  <si>
    <t>Total comprehensive income for the year  ( A+B )</t>
  </si>
  <si>
    <t>Profit attributable to :</t>
  </si>
  <si>
    <t>Owners</t>
  </si>
  <si>
    <t>Non-controlling interests</t>
  </si>
  <si>
    <t>Other comprehensive income attributable to :</t>
  </si>
  <si>
    <t>Total comprehensive income attributable to:</t>
  </si>
  <si>
    <t xml:space="preserve">Owners </t>
  </si>
  <si>
    <t>Non-contolling interests</t>
  </si>
  <si>
    <t>Earnings per equity share for profit attributable to owners:</t>
  </si>
  <si>
    <t xml:space="preserve">Basic earnings per share </t>
  </si>
  <si>
    <t xml:space="preserve">Diluted earnings per share </t>
  </si>
  <si>
    <t xml:space="preserve">Non-current Assets </t>
  </si>
  <si>
    <t xml:space="preserve">Property , plant and equipments </t>
  </si>
  <si>
    <t>Capital work in progress</t>
  </si>
  <si>
    <t xml:space="preserve">Right of use assets </t>
  </si>
  <si>
    <t>Investment properties</t>
  </si>
  <si>
    <t>Goodwill</t>
  </si>
  <si>
    <t>Other intangible assets</t>
  </si>
  <si>
    <t>Investmet accounted for using the equity method</t>
  </si>
  <si>
    <t xml:space="preserve">Financial assets </t>
  </si>
  <si>
    <t>(a) Investments</t>
  </si>
  <si>
    <t>(b) Loans</t>
  </si>
  <si>
    <t xml:space="preserve">(c) Other financial assets </t>
  </si>
  <si>
    <t>Deffered tax assets (net)</t>
  </si>
  <si>
    <t>Non current tax assets (net)</t>
  </si>
  <si>
    <t xml:space="preserve">Other non current assets </t>
  </si>
  <si>
    <t xml:space="preserve">Total non current assets </t>
  </si>
  <si>
    <t>Current Assets</t>
  </si>
  <si>
    <t>Inventories</t>
  </si>
  <si>
    <t xml:space="preserve">Financial Assets </t>
  </si>
  <si>
    <t>(b) Trade receivables</t>
  </si>
  <si>
    <t xml:space="preserve">(c) Cash and cash equivalents </t>
  </si>
  <si>
    <t xml:space="preserve">(d) Bank balances other than above </t>
  </si>
  <si>
    <t xml:space="preserve">(f) Other financial assets </t>
  </si>
  <si>
    <t xml:space="preserve">Total current assets </t>
  </si>
  <si>
    <t xml:space="preserve">TOTAL ASSETS </t>
  </si>
  <si>
    <t xml:space="preserve">ASSETS </t>
  </si>
  <si>
    <t>EQUITY AND LIABILITIES</t>
  </si>
  <si>
    <t>Equity</t>
  </si>
  <si>
    <t xml:space="preserve">Equity share capital </t>
  </si>
  <si>
    <t xml:space="preserve">Other equity </t>
  </si>
  <si>
    <t xml:space="preserve">Total share capital </t>
  </si>
  <si>
    <t xml:space="preserve">Non-controlling interests </t>
  </si>
  <si>
    <t xml:space="preserve">Total Equity </t>
  </si>
  <si>
    <t>Non current liabilities</t>
  </si>
  <si>
    <t xml:space="preserve">Financial liabilities </t>
  </si>
  <si>
    <t>(a) Borrowings</t>
  </si>
  <si>
    <t>(b) Trade Payables</t>
  </si>
  <si>
    <t xml:space="preserve">      (i) total outstanding dues of micro enterprises and small enterprises </t>
  </si>
  <si>
    <t xml:space="preserve">    (ii)  total outstanding dues of creditors other than micro enterprises and small enterprises </t>
  </si>
  <si>
    <t>(c) Other financial liabilities</t>
  </si>
  <si>
    <t>Other current liabilities</t>
  </si>
  <si>
    <t>Provisions</t>
  </si>
  <si>
    <t>Employee benefit obligations</t>
  </si>
  <si>
    <t>Current tax liabilities (net)</t>
  </si>
  <si>
    <t xml:space="preserve">Total current liabilities </t>
  </si>
  <si>
    <t>(b) Other financial liabilities</t>
  </si>
  <si>
    <t xml:space="preserve">Total non current liabilities </t>
  </si>
  <si>
    <t>Current liabilities</t>
  </si>
  <si>
    <t>TOTAL EQUITY  AND LIABILITIES</t>
  </si>
  <si>
    <t>Current Tax Assets ( Net)</t>
  </si>
  <si>
    <t xml:space="preserve">Other current assets </t>
  </si>
  <si>
    <t xml:space="preserve">Assets classified as held for sale </t>
  </si>
  <si>
    <t>Lease liabilities</t>
  </si>
  <si>
    <t>(b) Lease liabilities</t>
  </si>
  <si>
    <t>CASH FLOW FROM OPERATING ACTIVITIES :</t>
  </si>
  <si>
    <t>Profit before tax</t>
  </si>
  <si>
    <t>Adjustments for :</t>
  </si>
  <si>
    <t>Depreciation and amortisation expense</t>
  </si>
  <si>
    <t>Profit on disposal of property, plant and equipments</t>
  </si>
  <si>
    <t xml:space="preserve">Net fair value changes in financial assets and profit on sale of investments </t>
  </si>
  <si>
    <t xml:space="preserve">Emplyoees stock option charge </t>
  </si>
  <si>
    <t xml:space="preserve">Provision for doubtful debts </t>
  </si>
  <si>
    <t>Changes in working capital :</t>
  </si>
  <si>
    <t>(Increase) in trade receivables</t>
  </si>
  <si>
    <t>Decrease / (Increase) in inventories</t>
  </si>
  <si>
    <t>(Decrease) / Increase in trade payables</t>
  </si>
  <si>
    <t>Cash generated from (used in) operating activities</t>
  </si>
  <si>
    <t>Effect of exchange difference on translation of foreign currency</t>
  </si>
  <si>
    <t xml:space="preserve"> </t>
  </si>
  <si>
    <t>Inxome taxes paid ( net of refunds )</t>
  </si>
  <si>
    <t>Net cash generated (used in) operating activities</t>
  </si>
  <si>
    <t>CASH FLOW FROM INVESTING ACTIVITIES :</t>
  </si>
  <si>
    <t xml:space="preserve">Payment for property,plant and equipment and intangible assets </t>
  </si>
  <si>
    <t>Acquisition of subsidiary under business combinatio net of cash</t>
  </si>
  <si>
    <t>Proceeds from sale of property, plant and equipment</t>
  </si>
  <si>
    <t xml:space="preserve">Purchase of non current investments </t>
  </si>
  <si>
    <t xml:space="preserve">Proceeds from sale of non current investments </t>
  </si>
  <si>
    <t>(Payment for) / Proceeds from purchase / sale of investments</t>
  </si>
  <si>
    <t xml:space="preserve">(Purchase) / redemption of inter-corporate deposits </t>
  </si>
  <si>
    <t>(Investments in) / Redemption of bank deposits</t>
  </si>
  <si>
    <t xml:space="preserve">Interest received </t>
  </si>
  <si>
    <t xml:space="preserve">Net cash ( utilised in) / generated from investing activities </t>
  </si>
  <si>
    <t>CASH FLOW FROM FINANCING ACTIVITIES :</t>
  </si>
  <si>
    <t>Proceeds from issuance of share capital</t>
  </si>
  <si>
    <t>(Purchase) / sale of investments by WEOMA trust</t>
  </si>
  <si>
    <t xml:space="preserve">Dividend paid to non controlling interest </t>
  </si>
  <si>
    <t>Interest Paid</t>
  </si>
  <si>
    <t xml:space="preserve">Repayment of principal portion of lease liabilities </t>
  </si>
  <si>
    <t>Interest on lease liabilities</t>
  </si>
  <si>
    <t>Dividends paid to company's shareholders</t>
  </si>
  <si>
    <t xml:space="preserve">Net cash utilised in financing activities </t>
  </si>
  <si>
    <t xml:space="preserve">NET INCREASE / (DECREASE) IN CASH &amp; CASH EQUIVALENTS </t>
  </si>
  <si>
    <t>Cash and cash equivalents at the beginning of the financial year</t>
  </si>
  <si>
    <t xml:space="preserve">Cash and Cash equivalents at the end of the year </t>
  </si>
  <si>
    <t xml:space="preserve">Interest income from financial asstes </t>
  </si>
  <si>
    <t xml:space="preserve">Operating profit before working capital changes </t>
  </si>
  <si>
    <t>Share of net loss/(gain) of joint ventures accounted for using the equity method</t>
  </si>
  <si>
    <t xml:space="preserve">Impairement of Non-current assets and inventory </t>
  </si>
  <si>
    <t>Fair valuation gain on existing stake of Joint venture</t>
  </si>
  <si>
    <t>Exchange difference</t>
  </si>
  <si>
    <t>Cash and Cash equivalents aquired on business combination</t>
  </si>
  <si>
    <t>(e) Loans receivables</t>
  </si>
  <si>
    <t>Acquisition of non controlling interest</t>
  </si>
  <si>
    <t>GROWTH FACTORS</t>
  </si>
  <si>
    <t>Revenue Growth (%)</t>
  </si>
  <si>
    <t>EBITDA Growth  (%)</t>
  </si>
  <si>
    <t>EBIT Growth  (%)</t>
  </si>
  <si>
    <t xml:space="preserve">Pre-Tax Growth  (%) </t>
  </si>
  <si>
    <t>MARGIN</t>
  </si>
  <si>
    <t>Gross Profit Margin  (%)</t>
  </si>
  <si>
    <t>EBITDA Margin  (%)</t>
  </si>
  <si>
    <t>EBIT Margin  (%)</t>
  </si>
  <si>
    <t>Pre-Tax Margin  (%)</t>
  </si>
  <si>
    <t>Effective Tax Rate  (%)</t>
  </si>
  <si>
    <t>LIQUIDITY RATIOS</t>
  </si>
  <si>
    <t>Current Ratio</t>
  </si>
  <si>
    <t>Quick Ratio</t>
  </si>
  <si>
    <t>TURNOVER RATIO</t>
  </si>
  <si>
    <t>Receivable Turnover Ratio</t>
  </si>
  <si>
    <t>Payable Turnover Ratio</t>
  </si>
  <si>
    <t>Inventory Turnover Ratio</t>
  </si>
  <si>
    <t>Fixed Asset Turnover Ratio</t>
  </si>
  <si>
    <t>Receivable days</t>
  </si>
  <si>
    <t>Payable Days</t>
  </si>
  <si>
    <t>Inventory Days</t>
  </si>
  <si>
    <t>Cash Conversion Cycle</t>
  </si>
  <si>
    <t>CFO%Sales</t>
  </si>
  <si>
    <t>CFO%Totak Assets</t>
  </si>
  <si>
    <t>CFO%Total Debt</t>
  </si>
  <si>
    <t>Return on Capital employed</t>
  </si>
  <si>
    <t xml:space="preserve">Retained Earnings Percentage </t>
  </si>
  <si>
    <t>Return on Equity</t>
  </si>
  <si>
    <t>Interest Coverage Ratio</t>
  </si>
  <si>
    <t>CAPITAL EMPLOYED</t>
  </si>
  <si>
    <t>AVERAGE CAPITALL EMPLYOED</t>
  </si>
  <si>
    <t>EBIT</t>
  </si>
  <si>
    <t>EBITDA</t>
  </si>
  <si>
    <t>Revenue Schedule(%)</t>
  </si>
  <si>
    <t xml:space="preserve">% change in Revenue </t>
  </si>
  <si>
    <t>Cost Schedule (%)</t>
  </si>
  <si>
    <t>Employee Expense</t>
  </si>
  <si>
    <t>Tax Expense</t>
  </si>
  <si>
    <t>Other Expenses</t>
  </si>
  <si>
    <t>Asset Schedule (%)</t>
  </si>
  <si>
    <t xml:space="preserve">Addition </t>
  </si>
  <si>
    <t>Disposal</t>
  </si>
  <si>
    <t>Depreciation</t>
  </si>
  <si>
    <t>Debt Schedule (%)</t>
  </si>
  <si>
    <t>New Borrowings</t>
  </si>
  <si>
    <t>Repayment</t>
  </si>
  <si>
    <t xml:space="preserve">Finance cost </t>
  </si>
  <si>
    <t>Working Capital Schedule (%)</t>
  </si>
  <si>
    <t>% change in revenue</t>
  </si>
  <si>
    <t>Revenue growth (%)</t>
  </si>
  <si>
    <t>COGS :</t>
  </si>
  <si>
    <t>COGS (%)</t>
  </si>
  <si>
    <t>Total as a (%) of revenue</t>
  </si>
  <si>
    <t xml:space="preserve">Emplyoee benefit cost </t>
  </si>
  <si>
    <t>Employee benefit cost as a (%) of revenue</t>
  </si>
  <si>
    <t>Employee benefit cost :</t>
  </si>
  <si>
    <t>Other expenses :</t>
  </si>
  <si>
    <t>Other expenses as a (%) of revenue</t>
  </si>
  <si>
    <t>Tax Expenses</t>
  </si>
  <si>
    <t xml:space="preserve">Current tax </t>
  </si>
  <si>
    <t xml:space="preserve">Deferred tax </t>
  </si>
  <si>
    <t>Tax Expense as a (%) of profit before tax</t>
  </si>
  <si>
    <t xml:space="preserve">Opening balance </t>
  </si>
  <si>
    <t>Addition</t>
  </si>
  <si>
    <t>Adjustments</t>
  </si>
  <si>
    <t xml:space="preserve">Closing Balance </t>
  </si>
  <si>
    <t>ADDITION</t>
  </si>
  <si>
    <t>CAPEX</t>
  </si>
  <si>
    <t xml:space="preserve">Average assets </t>
  </si>
  <si>
    <t>Assets turnover ratio</t>
  </si>
  <si>
    <t>SALE OF ASSETS</t>
  </si>
  <si>
    <t>DISPOSAL</t>
  </si>
  <si>
    <t>DEPRECIATION</t>
  </si>
  <si>
    <t>Composition of assets (%)</t>
  </si>
  <si>
    <t>Opening balance</t>
  </si>
  <si>
    <t xml:space="preserve">New borrowings </t>
  </si>
  <si>
    <t xml:space="preserve">Repayments </t>
  </si>
  <si>
    <t xml:space="preserve">Adjustments </t>
  </si>
  <si>
    <t>New borrowings</t>
  </si>
  <si>
    <t>New borrowings as a (%) of revenue</t>
  </si>
  <si>
    <t>Repayment as a (%) of opening debt</t>
  </si>
  <si>
    <t xml:space="preserve">SHORT TERM BORROWINGS </t>
  </si>
  <si>
    <t xml:space="preserve">Other borrowings  taken </t>
  </si>
  <si>
    <t>Other borrowings (repaid)</t>
  </si>
  <si>
    <t>Finance cost</t>
  </si>
  <si>
    <t xml:space="preserve">Finance Cost </t>
  </si>
  <si>
    <t>Finance cost as a (%) of average debt</t>
  </si>
  <si>
    <t>Average debt</t>
  </si>
  <si>
    <t>Opening debt</t>
  </si>
  <si>
    <t>Closing debt</t>
  </si>
  <si>
    <t xml:space="preserve">INVENTORY </t>
  </si>
  <si>
    <t>Average Inventory</t>
  </si>
  <si>
    <t xml:space="preserve">Holding Period </t>
  </si>
  <si>
    <t>INVENTORY</t>
  </si>
  <si>
    <t xml:space="preserve">TRADE RECEIVABLE </t>
  </si>
  <si>
    <t>TRADE RECEIVABLE</t>
  </si>
  <si>
    <t>Average Trade receivables</t>
  </si>
  <si>
    <t>Sales</t>
  </si>
  <si>
    <t xml:space="preserve">Receivable Collection Period </t>
  </si>
  <si>
    <t>TRADE PAYABLES</t>
  </si>
  <si>
    <t>Average Trade payables</t>
  </si>
  <si>
    <t>Purchases</t>
  </si>
  <si>
    <t xml:space="preserve">Payable Payment Period </t>
  </si>
  <si>
    <t>Composition of trade payables :</t>
  </si>
  <si>
    <t xml:space="preserve">(i) total outstanding dues of micro enterprises and small enterprises </t>
  </si>
  <si>
    <t xml:space="preserve"> (ii) total outstanding dues of creditors other than micro enterprises an</t>
  </si>
  <si>
    <t>TOTAL</t>
  </si>
  <si>
    <t>Composition of trade payables (%) :</t>
  </si>
  <si>
    <t>check</t>
  </si>
  <si>
    <t>Tax Rate</t>
  </si>
  <si>
    <t>EBIT*(1-tax rate)</t>
  </si>
  <si>
    <t>Less: Capital Expenditure</t>
  </si>
  <si>
    <t>Add:(increase)/decrease in Working Capital</t>
  </si>
  <si>
    <t>Add:Non Cash charges</t>
  </si>
  <si>
    <t>Free Cash Flow to Firm</t>
  </si>
  <si>
    <t>COST OF EQUITY</t>
  </si>
  <si>
    <t>Risk free Rate</t>
  </si>
  <si>
    <t>Expected return from the market</t>
  </si>
  <si>
    <t>Market Premium</t>
  </si>
  <si>
    <t>Beta</t>
  </si>
  <si>
    <t>Cost Of Equity ( CAPM)</t>
  </si>
  <si>
    <t>COST OF DEBT</t>
  </si>
  <si>
    <t>Interest rate on debt</t>
  </si>
  <si>
    <t>Cost of debt</t>
  </si>
  <si>
    <t>Total Debt</t>
  </si>
  <si>
    <t>Total Equity</t>
  </si>
  <si>
    <t>%of Debt</t>
  </si>
  <si>
    <t>%of Equity</t>
  </si>
  <si>
    <t>WACC</t>
  </si>
  <si>
    <t>THEORETICAL WACC</t>
  </si>
  <si>
    <t>NPV of Business</t>
  </si>
  <si>
    <t>Long Term Free Cash Flow Growth Assumptions</t>
  </si>
  <si>
    <t>Terminal Value</t>
  </si>
  <si>
    <t>NPV of Business Terminal Value</t>
  </si>
  <si>
    <t>Enterprise Value</t>
  </si>
  <si>
    <t>Add: Cash and Cash Equivalent &amp; Bank Balance (opening balance)</t>
  </si>
  <si>
    <t>Less: Minority Interest ( Opening Balance)</t>
  </si>
  <si>
    <t>Less: Debt ( Beginning Balance)</t>
  </si>
  <si>
    <t xml:space="preserve">Equity Value </t>
  </si>
  <si>
    <t>Number of shares outstanding</t>
  </si>
  <si>
    <t xml:space="preserve">Price per share </t>
  </si>
  <si>
    <t>MPS as on 28/12/2025</t>
  </si>
  <si>
    <t>Gross Profit Growth (%)</t>
  </si>
  <si>
    <t>TRENDS</t>
  </si>
  <si>
    <t>Median</t>
  </si>
  <si>
    <r>
      <t>Sector:</t>
    </r>
    <r>
      <rPr>
        <b/>
        <sz val="11"/>
        <color rgb="FFC00000"/>
        <rFont val="Calibri"/>
        <family val="2"/>
      </rPr>
      <t xml:space="preserve"> FMCG</t>
    </r>
  </si>
  <si>
    <r>
      <t xml:space="preserve">      CMP: </t>
    </r>
    <r>
      <rPr>
        <b/>
        <sz val="11"/>
        <color rgb="FFC00000"/>
        <rFont val="Calibri"/>
        <family val="2"/>
      </rPr>
      <t>791</t>
    </r>
  </si>
  <si>
    <r>
      <t>Company Registered Name :</t>
    </r>
    <r>
      <rPr>
        <b/>
        <sz val="11"/>
        <color rgb="FFC00000"/>
        <rFont val="Calibri"/>
        <family val="2"/>
      </rPr>
      <t xml:space="preserve"> Marico</t>
    </r>
    <r>
      <rPr>
        <b/>
        <sz val="11"/>
        <color theme="1"/>
        <rFont val="Calibri"/>
        <family val="2"/>
      </rPr>
      <t xml:space="preserve"> </t>
    </r>
    <r>
      <rPr>
        <b/>
        <sz val="11"/>
        <color rgb="FFC00000"/>
        <rFont val="Calibri"/>
        <family val="2"/>
      </rPr>
      <t>Limited</t>
    </r>
  </si>
  <si>
    <r>
      <t>TICKER:</t>
    </r>
    <r>
      <rPr>
        <b/>
        <sz val="11"/>
        <color theme="5"/>
        <rFont val="Calibri"/>
        <family val="2"/>
      </rPr>
      <t xml:space="preserve"> </t>
    </r>
    <r>
      <rPr>
        <b/>
        <sz val="11"/>
        <color rgb="FFC00000"/>
        <rFont val="Calibri"/>
        <family val="2"/>
      </rPr>
      <t>MARICO</t>
    </r>
  </si>
  <si>
    <r>
      <t xml:space="preserve">BSE CODE: </t>
    </r>
    <r>
      <rPr>
        <b/>
        <sz val="11"/>
        <color rgb="FFC00000"/>
        <rFont val="Calibri"/>
        <family val="2"/>
      </rPr>
      <t>531642</t>
    </r>
  </si>
  <si>
    <t>Peer companies</t>
  </si>
  <si>
    <t>Name of Company</t>
  </si>
  <si>
    <t>Country</t>
  </si>
  <si>
    <t>CMP</t>
  </si>
  <si>
    <t>Market Capital</t>
  </si>
  <si>
    <t>Profit Growth (%)</t>
  </si>
  <si>
    <t>India</t>
  </si>
  <si>
    <t>Shareholding pattern</t>
  </si>
  <si>
    <t xml:space="preserve">Investors </t>
  </si>
  <si>
    <t xml:space="preserve">                  Major Shareholders</t>
  </si>
  <si>
    <t>Shareholders</t>
  </si>
  <si>
    <t>March</t>
  </si>
  <si>
    <t xml:space="preserve">      June</t>
  </si>
  <si>
    <t>Septemer</t>
  </si>
  <si>
    <t>December</t>
  </si>
  <si>
    <t>Promoters</t>
  </si>
  <si>
    <t>FIIs</t>
  </si>
  <si>
    <t>DIIs</t>
  </si>
  <si>
    <t>Government</t>
  </si>
  <si>
    <t>Public</t>
  </si>
  <si>
    <t>Recent Updates</t>
  </si>
  <si>
    <t>Patanjali Foods</t>
  </si>
  <si>
    <t>Sundrop Brands</t>
  </si>
  <si>
    <t xml:space="preserve">Gokul Agro </t>
  </si>
  <si>
    <t>CIAN Agro</t>
  </si>
  <si>
    <t>Shri Venkatesh</t>
  </si>
  <si>
    <t>Others</t>
  </si>
  <si>
    <t>Harsh C Mariwala with Late Kishore V Mariwala for Gemini Family Trust</t>
  </si>
  <si>
    <t>First Sentier Investors Icvc- Stewart Investors Asia Pacific Leaders Fund</t>
  </si>
  <si>
    <t>Life Insurance Corporation of India</t>
  </si>
  <si>
    <t xml:space="preserve">Q3 Performance and Growth : Marico reported a 13.3% rise in consolidated net profit to Rs. 460 Crore for the Decemeber quarter , driven by 8% domestic volume growth and </t>
  </si>
  <si>
    <t>strong internation expansion</t>
  </si>
  <si>
    <t>Acquisition Spree : In february  2026, Maricp announced the acquisition of a 75% stake in Vietnam's SKINETIQ for Rs. 262 crore and a 60% stake in Indian plant -based brand Cosmix</t>
  </si>
  <si>
    <t>, following a January deal for 4700BC popcorn</t>
  </si>
  <si>
    <t>Stock Record Highs: Shares hit fresh record highs in February 2026, with analysts setting targets as high as  Rs. 900-950 on a strong premiumization and growth in new businesses</t>
  </si>
  <si>
    <t xml:space="preserve">Strategic Outlook : The company is focusing on expanding its digital-first , premium beauty , and wellness portfolio to achieve sustained growth </t>
  </si>
  <si>
    <t>Margin Outlook: Management expects margin expansion of 150-200 basic points in the near ro medium term , supported by easing input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</si>
</sst>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 #,##0.00;[Red]&quot;₹&quot;\ \-#,##0.00"/>
    <numFmt numFmtId="44" formatCode="_ &quot;₹&quot;\ * #,##0.00_ ;_ &quot;₹&quot;\ * \-#,##0.00_ ;_ &quot;₹&quot;\ * &quot;-&quot;??_ ;_ @_ "/>
    <numFmt numFmtId="164" formatCode="#,##0.00;[Red]\(#,##0.00\)"/>
    <numFmt numFmtId="165" formatCode="0.00_ ;[Red]\(0.00\)"/>
    <numFmt numFmtId="166" formatCode="#,##0.00;[Red]#,##0.00"/>
    <numFmt numFmtId="167" formatCode="#,##0;[Red]#,##0"/>
    <numFmt numFmtId="168" formatCode="0.0%"/>
  </numFmts>
  <fonts count="32" x14ac:knownFonts="1">
    <font>
      <sz val="11"/>
      <color theme="1"/>
      <name val="Calibri"/>
      <family val="2"/>
    </font>
    <font>
      <b/>
      <sz val="11"/>
      <color theme="0"/>
      <name val="Calibri"/>
      <family val="2"/>
    </font>
    <font>
      <b/>
      <sz val="11"/>
      <color theme="1"/>
      <name val="Calibri"/>
      <family val="2"/>
    </font>
    <font>
      <b/>
      <sz val="14"/>
      <color theme="4" tint="-0.249977111117893"/>
      <name val="Calibri"/>
      <family val="2"/>
    </font>
    <font>
      <b/>
      <sz val="12"/>
      <color rgb="FF002060"/>
      <name val="Calibri"/>
      <family val="2"/>
    </font>
    <font>
      <b/>
      <sz val="14"/>
      <color rgb="FF002060"/>
      <name val="Calibri"/>
      <family val="2"/>
    </font>
    <font>
      <b/>
      <sz val="12"/>
      <color theme="8" tint="0.79998168889431442"/>
      <name val="Calibri"/>
      <family val="2"/>
    </font>
    <font>
      <b/>
      <sz val="12"/>
      <color rgb="FFFF0000"/>
      <name val="Calibri"/>
      <family val="2"/>
    </font>
    <font>
      <b/>
      <sz val="11"/>
      <color rgb="FF00B050"/>
      <name val="Calibri"/>
      <family val="2"/>
    </font>
    <font>
      <sz val="11"/>
      <color theme="1"/>
      <name val="Calibri"/>
      <family val="2"/>
    </font>
    <font>
      <b/>
      <sz val="11"/>
      <color theme="4" tint="-0.249977111117893"/>
      <name val="Calibri"/>
      <family val="2"/>
    </font>
    <font>
      <sz val="9"/>
      <color indexed="81"/>
      <name val="Tahoma"/>
      <family val="2"/>
    </font>
    <font>
      <b/>
      <sz val="9"/>
      <color indexed="81"/>
      <name val="Tahoma"/>
      <family val="2"/>
    </font>
    <font>
      <b/>
      <sz val="11"/>
      <color rgb="FFFF0000"/>
      <name val="Calibri"/>
      <family val="2"/>
    </font>
    <font>
      <sz val="11"/>
      <color rgb="FF00B050"/>
      <name val="Calibri"/>
      <family val="2"/>
    </font>
    <font>
      <sz val="8"/>
      <name val="Calibri"/>
      <family val="2"/>
    </font>
    <font>
      <i/>
      <sz val="11"/>
      <color theme="1"/>
      <name val="Calibri"/>
      <family val="2"/>
    </font>
    <font>
      <b/>
      <i/>
      <sz val="11"/>
      <color theme="1"/>
      <name val="Calibri"/>
      <family val="2"/>
    </font>
    <font>
      <b/>
      <sz val="11"/>
      <color rgb="FFC00000"/>
      <name val="Calibri"/>
      <family val="2"/>
    </font>
    <font>
      <b/>
      <sz val="11"/>
      <color theme="5"/>
      <name val="Calibri"/>
      <family val="2"/>
    </font>
    <font>
      <sz val="9"/>
      <color rgb="FF606F7B"/>
      <name val="Arial"/>
      <family val="2"/>
    </font>
    <font>
      <b/>
      <sz val="16"/>
      <color theme="1"/>
      <name val="Calibri"/>
      <family val="2"/>
    </font>
    <font>
      <sz val="16"/>
      <color theme="1"/>
      <name val="Calibri"/>
      <family val="2"/>
    </font>
    <font>
      <b/>
      <sz val="12"/>
      <color theme="1"/>
      <name val="Calibri"/>
      <family val="2"/>
    </font>
    <font>
      <sz val="12"/>
      <color theme="1"/>
      <name val="Calibri"/>
      <family val="2"/>
    </font>
    <font>
      <b/>
      <sz val="12"/>
      <color rgb="FF663300"/>
      <name val="Calibri"/>
      <family val="2"/>
    </font>
    <font>
      <b/>
      <sz val="11"/>
      <color rgb="FF663300"/>
      <name val="Calibri"/>
      <family val="2"/>
    </font>
    <font>
      <b/>
      <sz val="11"/>
      <color rgb="FF0070C0"/>
      <name val="Calibri"/>
      <family val="2"/>
    </font>
    <font>
      <sz val="11"/>
      <color rgb="FF663300"/>
      <name val="Calibri"/>
      <family val="2"/>
    </font>
    <font>
      <b/>
      <sz val="12"/>
      <color theme="4" tint="-0.499984740745262"/>
      <name val="Calibri"/>
      <family val="2"/>
    </font>
    <font>
      <sz val="11"/>
      <color theme="4" tint="-0.499984740745262"/>
      <name val="Calibri"/>
      <family val="2"/>
    </font>
    <font>
      <b/>
      <sz val="14"/>
      <color theme="0"/>
      <name val="Calibri"/>
      <family val="2"/>
    </font>
  </fonts>
  <fills count="1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rgb="FF92D050"/>
        <bgColor indexed="64"/>
      </patternFill>
    </fill>
    <fill>
      <patternFill patternType="solid">
        <fgColor rgb="FF00206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499984740745262"/>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rgb="FF00B050"/>
        <bgColor indexed="64"/>
      </patternFill>
    </fill>
  </fills>
  <borders count="30">
    <border>
      <left/>
      <right/>
      <top/>
      <bottom/>
      <diagonal/>
    </border>
    <border>
      <left/>
      <right/>
      <top style="thin">
        <color indexed="64"/>
      </top>
      <bottom/>
      <diagonal/>
    </border>
    <border>
      <left/>
      <right/>
      <top style="thin">
        <color theme="4" tint="-0.499984740745262"/>
      </top>
      <bottom/>
      <diagonal/>
    </border>
    <border>
      <left style="medium">
        <color theme="4" tint="-0.499984740745262"/>
      </left>
      <right style="thin">
        <color theme="4" tint="-0.499984740745262"/>
      </right>
      <top style="medium">
        <color theme="4" tint="-0.499984740745262"/>
      </top>
      <bottom/>
      <diagonal/>
    </border>
    <border>
      <left style="thin">
        <color theme="4" tint="-0.499984740745262"/>
      </left>
      <right style="thin">
        <color theme="4" tint="-0.499984740745262"/>
      </right>
      <top style="medium">
        <color theme="4" tint="-0.499984740745262"/>
      </top>
      <bottom style="thin">
        <color theme="4" tint="-0.499984740745262"/>
      </bottom>
      <diagonal/>
    </border>
    <border>
      <left style="thin">
        <color theme="4" tint="-0.499984740745262"/>
      </left>
      <right style="medium">
        <color theme="4" tint="-0.499984740745262"/>
      </right>
      <top style="medium">
        <color theme="4" tint="-0.499984740745262"/>
      </top>
      <bottom style="thin">
        <color theme="4" tint="-0.499984740745262"/>
      </bottom>
      <diagonal/>
    </border>
    <border>
      <left style="medium">
        <color theme="4" tint="-0.499984740745262"/>
      </left>
      <right style="thin">
        <color theme="4" tint="-0.499984740745262"/>
      </right>
      <top/>
      <bottom style="medium">
        <color theme="4" tint="-0.499984740745262"/>
      </bottom>
      <diagonal/>
    </border>
    <border>
      <left style="thin">
        <color theme="4" tint="-0.499984740745262"/>
      </left>
      <right style="thin">
        <color theme="4" tint="-0.499984740745262"/>
      </right>
      <top style="thin">
        <color theme="4" tint="-0.499984740745262"/>
      </top>
      <bottom style="medium">
        <color theme="4" tint="-0.499984740745262"/>
      </bottom>
      <diagonal/>
    </border>
    <border>
      <left style="thin">
        <color theme="4" tint="-0.499984740745262"/>
      </left>
      <right style="medium">
        <color theme="4" tint="-0.499984740745262"/>
      </right>
      <top style="thin">
        <color theme="4" tint="-0.499984740745262"/>
      </top>
      <bottom style="medium">
        <color theme="4" tint="-0.499984740745262"/>
      </bottom>
      <diagonal/>
    </border>
    <border>
      <left/>
      <right/>
      <top style="thin">
        <color theme="4" tint="-0.499984740745262"/>
      </top>
      <bottom style="thin">
        <color theme="4" tint="-0.499984740745262"/>
      </bottom>
      <diagonal/>
    </border>
    <border>
      <left/>
      <right/>
      <top style="thin">
        <color theme="4" tint="-0.499984740745262"/>
      </top>
      <bottom style="double">
        <color theme="4" tint="-0.499984740745262"/>
      </bottom>
      <diagonal/>
    </border>
    <border>
      <left style="medium">
        <color auto="1"/>
      </left>
      <right style="medium">
        <color auto="1"/>
      </right>
      <top style="medium">
        <color auto="1"/>
      </top>
      <bottom style="medium">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auto="1"/>
      </left>
      <right style="thin">
        <color auto="1"/>
      </right>
      <top style="thin">
        <color auto="1"/>
      </top>
      <bottom style="thin">
        <color auto="1"/>
      </bottom>
      <diagonal/>
    </border>
    <border>
      <left/>
      <right style="medium">
        <color theme="4" tint="-0.499984740745262"/>
      </right>
      <top style="medium">
        <color theme="4" tint="-0.499984740745262"/>
      </top>
      <bottom/>
      <diagonal/>
    </border>
    <border>
      <left/>
      <right style="medium">
        <color theme="4" tint="-0.499984740745262"/>
      </right>
      <top/>
      <bottom style="medium">
        <color theme="4" tint="-0.499984740745262"/>
      </bottom>
      <diagonal/>
    </border>
    <border>
      <left style="medium">
        <color theme="4" tint="-0.499984740745262"/>
      </left>
      <right style="medium">
        <color theme="4" tint="-0.499984740745262"/>
      </right>
      <top style="medium">
        <color theme="4" tint="-0.499984740745262"/>
      </top>
      <bottom/>
      <diagonal/>
    </border>
    <border>
      <left style="medium">
        <color theme="4" tint="-0.499984740745262"/>
      </left>
      <right style="medium">
        <color theme="4" tint="-0.499984740745262"/>
      </right>
      <top/>
      <bottom style="medium">
        <color theme="4" tint="-0.499984740745262"/>
      </bottom>
      <diagonal/>
    </border>
    <border>
      <left style="medium">
        <color theme="4" tint="-0.499984740745262"/>
      </left>
      <right style="medium">
        <color theme="4" tint="-0.499984740745262"/>
      </right>
      <top/>
      <bottom/>
      <diagonal/>
    </border>
    <border>
      <left/>
      <right style="medium">
        <color theme="4" tint="-0.499984740745262"/>
      </right>
      <top/>
      <bottom/>
      <diagonal/>
    </border>
    <border>
      <left style="thin">
        <color theme="4" tint="-0.499984740745262"/>
      </left>
      <right/>
      <top style="medium">
        <color theme="4" tint="-0.499984740745262"/>
      </top>
      <bottom style="thin">
        <color theme="4" tint="-0.499984740745262"/>
      </bottom>
      <diagonal/>
    </border>
    <border>
      <left style="thin">
        <color theme="4" tint="-0.499984740745262"/>
      </left>
      <right/>
      <top style="thin">
        <color theme="4" tint="-0.499984740745262"/>
      </top>
      <bottom style="medium">
        <color theme="4" tint="-0.499984740745262"/>
      </bottom>
      <diagonal/>
    </border>
    <border>
      <left style="thick">
        <color indexed="64"/>
      </left>
      <right/>
      <top/>
      <bottom/>
      <diagonal/>
    </border>
    <border>
      <left/>
      <right style="thick">
        <color rgb="FFC00000"/>
      </right>
      <top/>
      <bottom/>
      <diagonal/>
    </border>
    <border>
      <left style="thick">
        <color rgb="FFC00000"/>
      </left>
      <right/>
      <top/>
      <bottom/>
      <diagonal/>
    </border>
    <border>
      <left/>
      <right style="thick">
        <color indexed="64"/>
      </right>
      <top/>
      <bottom/>
      <diagonal/>
    </border>
    <border>
      <left/>
      <right/>
      <top/>
      <bottom style="thick">
        <color rgb="FFA85400"/>
      </bottom>
      <diagonal/>
    </border>
  </borders>
  <cellStyleXfs count="3">
    <xf numFmtId="0" fontId="0" fillId="0" borderId="0"/>
    <xf numFmtId="9" fontId="9" fillId="0" borderId="0" applyFont="0" applyFill="0" applyBorder="0" applyAlignment="0" applyProtection="0"/>
    <xf numFmtId="44" fontId="9" fillId="0" borderId="0" applyFont="0" applyFill="0" applyBorder="0" applyAlignment="0" applyProtection="0"/>
  </cellStyleXfs>
  <cellXfs count="140">
    <xf numFmtId="0" fontId="0" fillId="0" borderId="0" xfId="0"/>
    <xf numFmtId="0" fontId="2" fillId="0" borderId="0" xfId="0" applyFont="1"/>
    <xf numFmtId="0" fontId="8" fillId="0" borderId="0" xfId="0" applyFont="1"/>
    <xf numFmtId="0" fontId="0" fillId="0" borderId="0" xfId="0" applyAlignment="1">
      <alignment wrapText="1"/>
    </xf>
    <xf numFmtId="0" fontId="2" fillId="3" borderId="0" xfId="0" applyFont="1" applyFill="1"/>
    <xf numFmtId="0" fontId="1" fillId="4" borderId="0" xfId="0" applyFont="1" applyFill="1"/>
    <xf numFmtId="0" fontId="2" fillId="0" borderId="0" xfId="0" applyFont="1" applyAlignment="1">
      <alignment wrapText="1"/>
    </xf>
    <xf numFmtId="164" fontId="0" fillId="0" borderId="0" xfId="0" applyNumberFormat="1"/>
    <xf numFmtId="0" fontId="2" fillId="5" borderId="0" xfId="0" applyFont="1" applyFill="1"/>
    <xf numFmtId="2" fontId="0" fillId="0" borderId="0" xfId="0" applyNumberFormat="1"/>
    <xf numFmtId="164" fontId="1" fillId="4" borderId="2" xfId="0" applyNumberFormat="1" applyFont="1" applyFill="1" applyBorder="1"/>
    <xf numFmtId="164" fontId="2" fillId="3" borderId="1" xfId="0" applyNumberFormat="1" applyFont="1" applyFill="1" applyBorder="1"/>
    <xf numFmtId="164" fontId="2" fillId="0" borderId="0" xfId="0" applyNumberFormat="1" applyFont="1"/>
    <xf numFmtId="164" fontId="2" fillId="0" borderId="2" xfId="0" applyNumberFormat="1" applyFont="1" applyBorder="1"/>
    <xf numFmtId="164" fontId="1" fillId="6" borderId="1" xfId="0" applyNumberFormat="1" applyFont="1" applyFill="1" applyBorder="1"/>
    <xf numFmtId="164" fontId="2" fillId="5" borderId="0" xfId="0" applyNumberFormat="1" applyFont="1" applyFill="1"/>
    <xf numFmtId="164" fontId="2" fillId="0" borderId="10" xfId="0" applyNumberFormat="1" applyFont="1" applyBorder="1"/>
    <xf numFmtId="164" fontId="1" fillId="4" borderId="9" xfId="0" applyNumberFormat="1" applyFont="1" applyFill="1" applyBorder="1"/>
    <xf numFmtId="164" fontId="2" fillId="2" borderId="2" xfId="0" applyNumberFormat="1" applyFont="1" applyFill="1" applyBorder="1"/>
    <xf numFmtId="0" fontId="2" fillId="7" borderId="0" xfId="0" applyFont="1" applyFill="1"/>
    <xf numFmtId="164" fontId="2" fillId="7" borderId="2" xfId="0" applyNumberFormat="1" applyFont="1" applyFill="1" applyBorder="1"/>
    <xf numFmtId="164" fontId="2" fillId="5" borderId="9" xfId="0" applyNumberFormat="1" applyFont="1" applyFill="1" applyBorder="1"/>
    <xf numFmtId="0" fontId="2" fillId="2" borderId="0" xfId="0" applyFont="1" applyFill="1" applyAlignment="1">
      <alignment wrapText="1"/>
    </xf>
    <xf numFmtId="0" fontId="2" fillId="8" borderId="0" xfId="0" applyFont="1" applyFill="1"/>
    <xf numFmtId="0" fontId="2" fillId="5" borderId="9" xfId="0" applyFont="1" applyFill="1" applyBorder="1"/>
    <xf numFmtId="164" fontId="2" fillId="8" borderId="2" xfId="0" applyNumberFormat="1" applyFont="1" applyFill="1" applyBorder="1"/>
    <xf numFmtId="164" fontId="10" fillId="0" borderId="0" xfId="0" applyNumberFormat="1" applyFont="1"/>
    <xf numFmtId="164" fontId="8" fillId="0" borderId="0" xfId="0" applyNumberFormat="1" applyFont="1"/>
    <xf numFmtId="165" fontId="2" fillId="9" borderId="12" xfId="0" applyNumberFormat="1" applyFont="1" applyFill="1" applyBorder="1"/>
    <xf numFmtId="165" fontId="2" fillId="9" borderId="13" xfId="0" applyNumberFormat="1" applyFont="1" applyFill="1" applyBorder="1"/>
    <xf numFmtId="165" fontId="0" fillId="0" borderId="0" xfId="0" applyNumberFormat="1"/>
    <xf numFmtId="165" fontId="2" fillId="0" borderId="12" xfId="0" applyNumberFormat="1" applyFont="1" applyBorder="1"/>
    <xf numFmtId="165" fontId="2" fillId="0" borderId="13" xfId="0" applyNumberFormat="1" applyFont="1" applyBorder="1"/>
    <xf numFmtId="165" fontId="2" fillId="0" borderId="0" xfId="0" applyNumberFormat="1" applyFont="1"/>
    <xf numFmtId="165" fontId="2" fillId="0" borderId="14" xfId="0" applyNumberFormat="1" applyFont="1" applyBorder="1"/>
    <xf numFmtId="165" fontId="2" fillId="5" borderId="11" xfId="0" applyNumberFormat="1" applyFont="1" applyFill="1" applyBorder="1"/>
    <xf numFmtId="0" fontId="2" fillId="0" borderId="0" xfId="0" applyFont="1" applyAlignment="1">
      <alignment horizontal="left" vertical="top"/>
    </xf>
    <xf numFmtId="0" fontId="0" fillId="5" borderId="0" xfId="0" applyFill="1"/>
    <xf numFmtId="9" fontId="0" fillId="0" borderId="0" xfId="1" applyFont="1"/>
    <xf numFmtId="9" fontId="0" fillId="5" borderId="0" xfId="0" applyNumberFormat="1" applyFill="1"/>
    <xf numFmtId="9" fontId="2" fillId="5" borderId="0" xfId="0" applyNumberFormat="1" applyFont="1" applyFill="1"/>
    <xf numFmtId="2" fontId="2" fillId="0" borderId="0" xfId="0" applyNumberFormat="1" applyFont="1"/>
    <xf numFmtId="9" fontId="2" fillId="0" borderId="0" xfId="1" applyFont="1"/>
    <xf numFmtId="0" fontId="13" fillId="0" borderId="0" xfId="0" applyFont="1"/>
    <xf numFmtId="9" fontId="13" fillId="0" borderId="0" xfId="1" applyFont="1"/>
    <xf numFmtId="0" fontId="1" fillId="10" borderId="0" xfId="0" applyFont="1" applyFill="1"/>
    <xf numFmtId="2" fontId="2" fillId="0" borderId="2" xfId="0" applyNumberFormat="1" applyFont="1" applyBorder="1"/>
    <xf numFmtId="0" fontId="1" fillId="11" borderId="0" xfId="0" applyFont="1" applyFill="1"/>
    <xf numFmtId="2" fontId="1" fillId="11" borderId="0" xfId="0" applyNumberFormat="1" applyFont="1" applyFill="1"/>
    <xf numFmtId="9" fontId="0" fillId="5" borderId="0" xfId="1" applyFont="1" applyFill="1"/>
    <xf numFmtId="9" fontId="2" fillId="5" borderId="15" xfId="1" applyFont="1" applyFill="1" applyBorder="1"/>
    <xf numFmtId="9" fontId="2" fillId="0" borderId="2" xfId="1" applyFont="1" applyBorder="1"/>
    <xf numFmtId="9" fontId="2" fillId="0" borderId="0" xfId="0" applyNumberFormat="1" applyFont="1"/>
    <xf numFmtId="1" fontId="2" fillId="0" borderId="0" xfId="0" applyNumberFormat="1" applyFont="1"/>
    <xf numFmtId="0" fontId="2" fillId="12" borderId="0" xfId="0" applyFont="1" applyFill="1"/>
    <xf numFmtId="2" fontId="0" fillId="12" borderId="0" xfId="0" applyNumberFormat="1" applyFill="1"/>
    <xf numFmtId="164" fontId="0" fillId="5" borderId="0" xfId="0" applyNumberFormat="1" applyFill="1"/>
    <xf numFmtId="2" fontId="1" fillId="10" borderId="0" xfId="0" applyNumberFormat="1" applyFont="1" applyFill="1"/>
    <xf numFmtId="10" fontId="0" fillId="0" borderId="0" xfId="1" applyNumberFormat="1" applyFont="1"/>
    <xf numFmtId="10" fontId="2" fillId="5" borderId="0" xfId="1" applyNumberFormat="1" applyFont="1" applyFill="1"/>
    <xf numFmtId="10" fontId="2" fillId="5" borderId="0" xfId="0" applyNumberFormat="1" applyFont="1" applyFill="1"/>
    <xf numFmtId="164" fontId="14" fillId="0" borderId="0" xfId="0" applyNumberFormat="1" applyFont="1"/>
    <xf numFmtId="9" fontId="2" fillId="5" borderId="0" xfId="1" applyFont="1" applyFill="1"/>
    <xf numFmtId="0" fontId="14" fillId="0" borderId="0" xfId="0" applyFont="1"/>
    <xf numFmtId="1" fontId="0" fillId="0" borderId="0" xfId="0" applyNumberFormat="1"/>
    <xf numFmtId="2" fontId="2" fillId="5" borderId="0" xfId="0" applyNumberFormat="1" applyFont="1" applyFill="1"/>
    <xf numFmtId="165" fontId="0" fillId="0" borderId="0" xfId="0" applyNumberFormat="1" applyAlignment="1">
      <alignment wrapText="1"/>
    </xf>
    <xf numFmtId="9" fontId="0" fillId="0" borderId="0" xfId="0" applyNumberFormat="1"/>
    <xf numFmtId="9" fontId="2" fillId="0" borderId="2" xfId="0" applyNumberFormat="1" applyFont="1" applyBorder="1"/>
    <xf numFmtId="0" fontId="2" fillId="0" borderId="2" xfId="0" applyFont="1" applyBorder="1"/>
    <xf numFmtId="1" fontId="2" fillId="0" borderId="2" xfId="0" applyNumberFormat="1" applyFont="1" applyBorder="1"/>
    <xf numFmtId="166" fontId="0" fillId="0" borderId="0" xfId="0" applyNumberFormat="1"/>
    <xf numFmtId="167" fontId="0" fillId="0" borderId="0" xfId="0" applyNumberFormat="1"/>
    <xf numFmtId="164" fontId="1" fillId="4" borderId="0" xfId="0" applyNumberFormat="1" applyFont="1" applyFill="1"/>
    <xf numFmtId="0" fontId="10" fillId="2" borderId="0" xfId="0" applyFont="1" applyFill="1"/>
    <xf numFmtId="165" fontId="10" fillId="2" borderId="0" xfId="0" applyNumberFormat="1" applyFont="1" applyFill="1"/>
    <xf numFmtId="165" fontId="2" fillId="8" borderId="0" xfId="0" applyNumberFormat="1" applyFont="1" applyFill="1"/>
    <xf numFmtId="0" fontId="2" fillId="9" borderId="16" xfId="0" applyFont="1" applyFill="1" applyBorder="1"/>
    <xf numFmtId="165" fontId="1" fillId="13" borderId="0" xfId="0" applyNumberFormat="1" applyFont="1" applyFill="1"/>
    <xf numFmtId="165" fontId="1" fillId="6" borderId="0" xfId="0" applyNumberFormat="1" applyFont="1" applyFill="1"/>
    <xf numFmtId="10" fontId="0" fillId="0" borderId="0" xfId="0" applyNumberFormat="1"/>
    <xf numFmtId="44" fontId="2" fillId="0" borderId="0" xfId="2" applyFont="1"/>
    <xf numFmtId="44" fontId="2" fillId="0" borderId="0" xfId="0" applyNumberFormat="1" applyFont="1"/>
    <xf numFmtId="2" fontId="2" fillId="8" borderId="0" xfId="0" applyNumberFormat="1" applyFont="1" applyFill="1"/>
    <xf numFmtId="9" fontId="2" fillId="8" borderId="0" xfId="1" applyFont="1" applyFill="1"/>
    <xf numFmtId="0" fontId="0" fillId="8" borderId="0" xfId="0" applyFill="1"/>
    <xf numFmtId="9" fontId="0" fillId="8" borderId="0" xfId="1" applyFont="1" applyFill="1"/>
    <xf numFmtId="8" fontId="2" fillId="2" borderId="0" xfId="0" applyNumberFormat="1" applyFont="1" applyFill="1"/>
    <xf numFmtId="0" fontId="0" fillId="0" borderId="0" xfId="0" applyAlignment="1">
      <alignment horizontal="center"/>
    </xf>
    <xf numFmtId="0" fontId="0" fillId="0" borderId="21" xfId="0" applyBorder="1"/>
    <xf numFmtId="9" fontId="2" fillId="0" borderId="22" xfId="0" applyNumberFormat="1" applyFont="1" applyBorder="1"/>
    <xf numFmtId="0" fontId="0" fillId="0" borderId="22" xfId="0" applyBorder="1"/>
    <xf numFmtId="2" fontId="0" fillId="0" borderId="21" xfId="0" applyNumberFormat="1" applyBorder="1"/>
    <xf numFmtId="2" fontId="2" fillId="0" borderId="0" xfId="1" applyNumberFormat="1" applyFont="1"/>
    <xf numFmtId="10" fontId="2" fillId="0" borderId="0" xfId="1" applyNumberFormat="1" applyFont="1"/>
    <xf numFmtId="9" fontId="2" fillId="2" borderId="16" xfId="1" applyFont="1" applyFill="1" applyBorder="1"/>
    <xf numFmtId="2" fontId="2" fillId="2" borderId="16" xfId="1" applyNumberFormat="1" applyFont="1" applyFill="1" applyBorder="1"/>
    <xf numFmtId="10" fontId="2" fillId="2" borderId="16" xfId="1" applyNumberFormat="1" applyFont="1" applyFill="1" applyBorder="1"/>
    <xf numFmtId="0" fontId="16" fillId="0" borderId="0" xfId="0" applyFont="1"/>
    <xf numFmtId="0" fontId="17" fillId="0" borderId="0" xfId="0" applyFont="1" applyAlignment="1">
      <alignment horizontal="left" vertical="center"/>
    </xf>
    <xf numFmtId="0" fontId="0" fillId="0" borderId="0" xfId="0" applyAlignment="1">
      <alignment horizontal="left" vertical="center"/>
    </xf>
    <xf numFmtId="0" fontId="20" fillId="0" borderId="0" xfId="0" applyFont="1"/>
    <xf numFmtId="0" fontId="21" fillId="0" borderId="29" xfId="0" applyFont="1" applyBorder="1"/>
    <xf numFmtId="0" fontId="22" fillId="0" borderId="29" xfId="0" applyFont="1" applyBorder="1"/>
    <xf numFmtId="0" fontId="0" fillId="0" borderId="29" xfId="0" applyBorder="1"/>
    <xf numFmtId="0" fontId="23" fillId="0" borderId="0" xfId="0" applyFont="1"/>
    <xf numFmtId="0" fontId="24" fillId="0" borderId="0" xfId="0" applyFont="1"/>
    <xf numFmtId="0" fontId="25" fillId="0" borderId="0" xfId="0" applyFont="1"/>
    <xf numFmtId="44" fontId="23" fillId="0" borderId="0" xfId="2" applyFont="1" applyAlignment="1">
      <alignment horizontal="right"/>
    </xf>
    <xf numFmtId="0" fontId="23" fillId="0" borderId="0" xfId="0" applyFont="1" applyAlignment="1">
      <alignment horizontal="center"/>
    </xf>
    <xf numFmtId="2" fontId="23" fillId="0" borderId="0" xfId="0" applyNumberFormat="1" applyFont="1"/>
    <xf numFmtId="2" fontId="23" fillId="0" borderId="0" xfId="0" applyNumberFormat="1" applyFont="1" applyAlignment="1">
      <alignment horizontal="center"/>
    </xf>
    <xf numFmtId="0" fontId="26" fillId="0" borderId="0" xfId="0" applyFont="1"/>
    <xf numFmtId="0" fontId="27" fillId="0" borderId="0" xfId="0" applyFont="1"/>
    <xf numFmtId="0" fontId="28" fillId="0" borderId="0" xfId="0" applyFont="1"/>
    <xf numFmtId="10" fontId="23" fillId="0" borderId="0" xfId="0" applyNumberFormat="1" applyFont="1"/>
    <xf numFmtId="0" fontId="29" fillId="0" borderId="0" xfId="0" applyFont="1"/>
    <xf numFmtId="0" fontId="30" fillId="0" borderId="0" xfId="0" applyFont="1"/>
    <xf numFmtId="0" fontId="31" fillId="4" borderId="0" xfId="0" applyFont="1" applyFill="1"/>
    <xf numFmtId="168" fontId="23" fillId="0" borderId="0" xfId="1" applyNumberFormat="1" applyFont="1"/>
    <xf numFmtId="0" fontId="4" fillId="2" borderId="4" xfId="0" applyFont="1" applyFill="1" applyBorder="1" applyAlignment="1">
      <alignment horizontal="center"/>
    </xf>
    <xf numFmtId="0" fontId="6" fillId="2" borderId="7" xfId="0" applyFont="1" applyFill="1" applyBorder="1" applyAlignment="1">
      <alignment horizontal="center"/>
    </xf>
    <xf numFmtId="0" fontId="4" fillId="2" borderId="5" xfId="0" applyFont="1" applyFill="1" applyBorder="1" applyAlignment="1">
      <alignment horizontal="center"/>
    </xf>
    <xf numFmtId="0" fontId="6" fillId="2" borderId="8" xfId="0" applyFont="1" applyFill="1" applyBorder="1" applyAlignment="1">
      <alignment horizontal="center"/>
    </xf>
    <xf numFmtId="0" fontId="3" fillId="0" borderId="0" xfId="0" applyFont="1" applyAlignment="1">
      <alignment horizontal="center"/>
    </xf>
    <xf numFmtId="0" fontId="0" fillId="0" borderId="0" xfId="0" applyAlignment="1">
      <alignment horizontal="center"/>
    </xf>
    <xf numFmtId="0" fontId="4" fillId="2" borderId="7" xfId="0" applyFont="1" applyFill="1" applyBorder="1" applyAlignment="1">
      <alignment horizontal="center"/>
    </xf>
    <xf numFmtId="0" fontId="5" fillId="2" borderId="3" xfId="0" applyFont="1" applyFill="1" applyBorder="1" applyAlignment="1">
      <alignment horizontal="center"/>
    </xf>
    <xf numFmtId="0" fontId="5" fillId="2" borderId="6" xfId="0" applyFont="1" applyFill="1" applyBorder="1" applyAlignment="1">
      <alignment horizontal="center"/>
    </xf>
    <xf numFmtId="0" fontId="2" fillId="2" borderId="25" xfId="0" applyFont="1" applyFill="1" applyBorder="1" applyAlignment="1">
      <alignment horizontal="center" vertical="center"/>
    </xf>
    <xf numFmtId="0" fontId="2" fillId="2" borderId="0" xfId="0" applyFont="1" applyFill="1" applyAlignment="1">
      <alignment horizontal="center" vertical="center"/>
    </xf>
    <xf numFmtId="0" fontId="2" fillId="2" borderId="26"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4" fillId="2" borderId="19" xfId="0" applyFont="1" applyFill="1" applyBorder="1" applyAlignment="1">
      <alignment horizontal="center"/>
    </xf>
    <xf numFmtId="0" fontId="4" fillId="2" borderId="20" xfId="0" applyFont="1" applyFill="1" applyBorder="1" applyAlignment="1">
      <alignment horizontal="center"/>
    </xf>
    <xf numFmtId="0" fontId="4" fillId="2" borderId="17" xfId="0" applyFont="1" applyFill="1" applyBorder="1" applyAlignment="1">
      <alignment horizontal="center"/>
    </xf>
    <xf numFmtId="0" fontId="4" fillId="2" borderId="18" xfId="0" applyFont="1" applyFill="1" applyBorder="1" applyAlignment="1">
      <alignment horizontal="center"/>
    </xf>
    <xf numFmtId="0" fontId="4" fillId="2" borderId="23" xfId="0" applyFont="1" applyFill="1" applyBorder="1" applyAlignment="1">
      <alignment horizontal="center"/>
    </xf>
    <xf numFmtId="0" fontId="6" fillId="2" borderId="24" xfId="0" applyFont="1" applyFill="1" applyBorder="1" applyAlignment="1">
      <alignment horizontal="center"/>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82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09565284568865E-2"/>
          <c:y val="8.3155999345228354E-2"/>
          <c:w val="0.91915796978290409"/>
          <c:h val="0.76301740601298629"/>
        </c:manualLayout>
      </c:layout>
      <c:barChart>
        <c:barDir val="col"/>
        <c:grouping val="clustered"/>
        <c:varyColors val="0"/>
        <c:dLbls>
          <c:showLegendKey val="0"/>
          <c:showVal val="0"/>
          <c:showCatName val="0"/>
          <c:showSerName val="0"/>
          <c:showPercent val="0"/>
          <c:showBubbleSize val="0"/>
        </c:dLbls>
        <c:gapWidth val="219"/>
        <c:overlap val="-27"/>
        <c:axId val="1507013855"/>
        <c:axId val="1507014335"/>
      </c:barChart>
      <c:catAx>
        <c:axId val="1507013855"/>
        <c:scaling>
          <c:orientation val="minMax"/>
        </c:scaling>
        <c:delete val="0"/>
        <c:axPos val="b"/>
        <c:numFmt formatCode="0_ ;[Red]\(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7014335"/>
        <c:crosses val="autoZero"/>
        <c:auto val="1"/>
        <c:lblAlgn val="ctr"/>
        <c:lblOffset val="100"/>
        <c:noMultiLvlLbl val="0"/>
      </c:catAx>
      <c:valAx>
        <c:axId val="1507014335"/>
        <c:scaling>
          <c:orientation val="minMax"/>
        </c:scaling>
        <c:delete val="1"/>
        <c:axPos val="l"/>
        <c:numFmt formatCode="0%" sourceLinked="1"/>
        <c:majorTickMark val="out"/>
        <c:minorTickMark val="none"/>
        <c:tickLblPos val="nextTo"/>
        <c:crossAx val="150701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20000"/>
                <a:lumOff val="80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B25D-4660-9FE9-9969EC7353DF}"/>
              </c:ext>
            </c:extLst>
          </c:dPt>
          <c:dPt>
            <c:idx val="2"/>
            <c:invertIfNegative val="0"/>
            <c:bubble3D val="0"/>
            <c:spPr>
              <a:solidFill>
                <a:srgbClr val="92D050"/>
              </a:solidFill>
              <a:ln>
                <a:noFill/>
              </a:ln>
              <a:effectLst/>
            </c:spPr>
            <c:extLst>
              <c:ext xmlns:c16="http://schemas.microsoft.com/office/drawing/2014/chart" uri="{C3380CC4-5D6E-409C-BE32-E72D297353CC}">
                <c16:uniqueId val="{00000010-B25D-4660-9FE9-9969EC7353D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11-B25D-4660-9FE9-9969EC7353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Analysis'!$D$22:$G$22</c:f>
              <c:numCache>
                <c:formatCode>0%</c:formatCode>
                <c:ptCount val="4"/>
                <c:pt idx="0">
                  <c:v>0.18702691337258201</c:v>
                </c:pt>
                <c:pt idx="1">
                  <c:v>0.20012290045063499</c:v>
                </c:pt>
                <c:pt idx="2">
                  <c:v>0.22459339065575468</c:v>
                </c:pt>
                <c:pt idx="3">
                  <c:v>0.19748868987166468</c:v>
                </c:pt>
              </c:numCache>
            </c:numRef>
          </c:val>
          <c:extLst>
            <c:ext xmlns:c16="http://schemas.microsoft.com/office/drawing/2014/chart" uri="{C3380CC4-5D6E-409C-BE32-E72D297353CC}">
              <c16:uniqueId val="{0000000E-B25D-4660-9FE9-9969EC7353DF}"/>
            </c:ext>
          </c:extLst>
        </c:ser>
        <c:dLbls>
          <c:dLblPos val="outEnd"/>
          <c:showLegendKey val="0"/>
          <c:showVal val="1"/>
          <c:showCatName val="0"/>
          <c:showSerName val="0"/>
          <c:showPercent val="0"/>
          <c:showBubbleSize val="0"/>
        </c:dLbls>
        <c:gapWidth val="219"/>
        <c:overlap val="-27"/>
        <c:axId val="469424095"/>
        <c:axId val="469443775"/>
      </c:barChart>
      <c:catAx>
        <c:axId val="46942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43775"/>
        <c:crosses val="autoZero"/>
        <c:auto val="1"/>
        <c:lblAlgn val="ctr"/>
        <c:lblOffset val="100"/>
        <c:noMultiLvlLbl val="0"/>
      </c:catAx>
      <c:valAx>
        <c:axId val="469443775"/>
        <c:scaling>
          <c:orientation val="minMax"/>
        </c:scaling>
        <c:delete val="1"/>
        <c:axPos val="l"/>
        <c:numFmt formatCode="0%" sourceLinked="1"/>
        <c:majorTickMark val="none"/>
        <c:minorTickMark val="none"/>
        <c:tickLblPos val="nextTo"/>
        <c:crossAx val="469424095"/>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dLblPos val="outEnd"/>
          <c:showLegendKey val="0"/>
          <c:showVal val="1"/>
          <c:showCatName val="0"/>
          <c:showSerName val="0"/>
          <c:showPercent val="0"/>
          <c:showBubbleSize val="0"/>
        </c:dLbls>
        <c:gapWidth val="219"/>
        <c:overlap val="-27"/>
        <c:axId val="293227055"/>
        <c:axId val="293243855"/>
      </c:barChart>
      <c:catAx>
        <c:axId val="293227055"/>
        <c:scaling>
          <c:orientation val="minMax"/>
        </c:scaling>
        <c:delete val="0"/>
        <c:axPos val="b"/>
        <c:numFmt formatCode="0_ ;[Red]\(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3243855"/>
        <c:crosses val="autoZero"/>
        <c:auto val="1"/>
        <c:lblAlgn val="ctr"/>
        <c:lblOffset val="100"/>
        <c:noMultiLvlLbl val="0"/>
      </c:catAx>
      <c:valAx>
        <c:axId val="293243855"/>
        <c:scaling>
          <c:orientation val="minMax"/>
        </c:scaling>
        <c:delete val="1"/>
        <c:axPos val="l"/>
        <c:numFmt formatCode="0.00_ ;[Red]\(0.00\)" sourceLinked="1"/>
        <c:majorTickMark val="out"/>
        <c:minorTickMark val="none"/>
        <c:tickLblPos val="nextTo"/>
        <c:crossAx val="2932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392504930966469E-2"/>
          <c:y val="7.521367521367521E-2"/>
          <c:w val="0.95660749506903353"/>
          <c:h val="0.76616569082710817"/>
        </c:manualLayout>
      </c:layout>
      <c:barChart>
        <c:barDir val="col"/>
        <c:grouping val="clustered"/>
        <c:varyColors val="0"/>
        <c:dLbls>
          <c:dLblPos val="outEnd"/>
          <c:showLegendKey val="0"/>
          <c:showVal val="1"/>
          <c:showCatName val="0"/>
          <c:showSerName val="0"/>
          <c:showPercent val="0"/>
          <c:showBubbleSize val="0"/>
        </c:dLbls>
        <c:gapWidth val="219"/>
        <c:overlap val="-27"/>
        <c:axId val="1573743311"/>
        <c:axId val="1573756751"/>
      </c:barChart>
      <c:catAx>
        <c:axId val="1573743311"/>
        <c:scaling>
          <c:orientation val="minMax"/>
        </c:scaling>
        <c:delete val="0"/>
        <c:axPos val="b"/>
        <c:numFmt formatCode="0_ ;[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3756751"/>
        <c:crosses val="autoZero"/>
        <c:auto val="1"/>
        <c:lblAlgn val="ctr"/>
        <c:lblOffset val="100"/>
        <c:noMultiLvlLbl val="0"/>
      </c:catAx>
      <c:valAx>
        <c:axId val="1573756751"/>
        <c:scaling>
          <c:orientation val="minMax"/>
        </c:scaling>
        <c:delete val="1"/>
        <c:axPos val="l"/>
        <c:numFmt formatCode="0.00_ ;[Red]\(0.00\)" sourceLinked="1"/>
        <c:majorTickMark val="none"/>
        <c:minorTickMark val="none"/>
        <c:tickLblPos val="nextTo"/>
        <c:crossAx val="157374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56843182973536E-3"/>
          <c:y val="0.1205535184920936"/>
          <c:w val="0.85874246339362614"/>
          <c:h val="0.76251202974628174"/>
        </c:manualLayout>
      </c:layout>
      <c:barChart>
        <c:barDir val="col"/>
        <c:grouping val="clustered"/>
        <c:varyColors val="0"/>
        <c:dLbls>
          <c:dLblPos val="outEnd"/>
          <c:showLegendKey val="0"/>
          <c:showVal val="1"/>
          <c:showCatName val="0"/>
          <c:showSerName val="0"/>
          <c:showPercent val="0"/>
          <c:showBubbleSize val="0"/>
        </c:dLbls>
        <c:gapWidth val="219"/>
        <c:overlap val="-27"/>
        <c:axId val="116903407"/>
        <c:axId val="116905807"/>
      </c:barChart>
      <c:catAx>
        <c:axId val="116903407"/>
        <c:scaling>
          <c:orientation val="minMax"/>
        </c:scaling>
        <c:delete val="0"/>
        <c:axPos val="b"/>
        <c:numFmt formatCode="0_ ;[Red]\(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905807"/>
        <c:crosses val="autoZero"/>
        <c:auto val="1"/>
        <c:lblAlgn val="ctr"/>
        <c:lblOffset val="100"/>
        <c:noMultiLvlLbl val="0"/>
      </c:catAx>
      <c:valAx>
        <c:axId val="116905807"/>
        <c:scaling>
          <c:orientation val="minMax"/>
        </c:scaling>
        <c:delete val="1"/>
        <c:axPos val="l"/>
        <c:numFmt formatCode="0%" sourceLinked="1"/>
        <c:majorTickMark val="none"/>
        <c:minorTickMark val="none"/>
        <c:tickLblPos val="nextTo"/>
        <c:crossAx val="1169034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F-8750-49C7-88E6-E296E9F63BED}"/>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0-8750-49C7-88E6-E296E9F63BED}"/>
              </c:ext>
            </c:extLst>
          </c:dPt>
          <c:dPt>
            <c:idx val="2"/>
            <c:invertIfNegative val="0"/>
            <c:bubble3D val="0"/>
            <c:spPr>
              <a:solidFill>
                <a:srgbClr val="92D050"/>
              </a:solidFill>
              <a:ln>
                <a:noFill/>
              </a:ln>
              <a:effectLst/>
            </c:spPr>
            <c:extLst>
              <c:ext xmlns:c16="http://schemas.microsoft.com/office/drawing/2014/chart" uri="{C3380CC4-5D6E-409C-BE32-E72D297353CC}">
                <c16:uniqueId val="{00000011-8750-49C7-88E6-E296E9F63BE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12-8750-49C7-88E6-E296E9F63B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Analysis'!$D$14:$G$14</c:f>
              <c:numCache>
                <c:formatCode>0%</c:formatCode>
                <c:ptCount val="4"/>
                <c:pt idx="0">
                  <c:v>7.8877713075701461E-2</c:v>
                </c:pt>
                <c:pt idx="1">
                  <c:v>8.2679097154072512E-2</c:v>
                </c:pt>
                <c:pt idx="2">
                  <c:v>0.11148878314072053</c:v>
                </c:pt>
                <c:pt idx="3">
                  <c:v>0.10968399592252798</c:v>
                </c:pt>
              </c:numCache>
            </c:numRef>
          </c:val>
          <c:extLst>
            <c:ext xmlns:c16="http://schemas.microsoft.com/office/drawing/2014/chart" uri="{C3380CC4-5D6E-409C-BE32-E72D297353CC}">
              <c16:uniqueId val="{0000000E-8750-49C7-88E6-E296E9F63BED}"/>
            </c:ext>
          </c:extLst>
        </c:ser>
        <c:dLbls>
          <c:dLblPos val="outEnd"/>
          <c:showLegendKey val="0"/>
          <c:showVal val="1"/>
          <c:showCatName val="0"/>
          <c:showSerName val="0"/>
          <c:showPercent val="0"/>
          <c:showBubbleSize val="0"/>
        </c:dLbls>
        <c:gapWidth val="219"/>
        <c:overlap val="-27"/>
        <c:axId val="88359183"/>
        <c:axId val="92143839"/>
      </c:barChart>
      <c:catAx>
        <c:axId val="88359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43839"/>
        <c:crosses val="autoZero"/>
        <c:auto val="1"/>
        <c:lblAlgn val="ctr"/>
        <c:lblOffset val="100"/>
        <c:noMultiLvlLbl val="0"/>
      </c:catAx>
      <c:valAx>
        <c:axId val="92143839"/>
        <c:scaling>
          <c:orientation val="minMax"/>
        </c:scaling>
        <c:delete val="1"/>
        <c:axPos val="l"/>
        <c:numFmt formatCode="0%" sourceLinked="1"/>
        <c:majorTickMark val="out"/>
        <c:minorTickMark val="none"/>
        <c:tickLblPos val="nextTo"/>
        <c:crossAx val="88359183"/>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07715447435936E-2"/>
          <c:y val="2.0394737194272986E-2"/>
          <c:w val="0.90229228455256405"/>
          <c:h val="0.9048245597600594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0508-413C-9EDA-D7E8546E2FAB}"/>
              </c:ext>
            </c:extLst>
          </c:dPt>
          <c:dPt>
            <c:idx val="1"/>
            <c:invertIfNegative val="0"/>
            <c:bubble3D val="0"/>
            <c:spPr>
              <a:solidFill>
                <a:srgbClr val="82D200">
                  <a:alpha val="45098"/>
                </a:srgbClr>
              </a:solidFill>
              <a:ln>
                <a:noFill/>
              </a:ln>
              <a:effectLst/>
            </c:spPr>
            <c:extLst>
              <c:ext xmlns:c16="http://schemas.microsoft.com/office/drawing/2014/chart" uri="{C3380CC4-5D6E-409C-BE32-E72D297353CC}">
                <c16:uniqueId val="{00000002-0508-413C-9EDA-D7E8546E2FAB}"/>
              </c:ext>
            </c:extLst>
          </c:dPt>
          <c:dPt>
            <c:idx val="2"/>
            <c:invertIfNegative val="0"/>
            <c:bubble3D val="0"/>
            <c:spPr>
              <a:solidFill>
                <a:srgbClr val="00B050"/>
              </a:solidFill>
              <a:ln>
                <a:noFill/>
              </a:ln>
              <a:effectLst/>
            </c:spPr>
            <c:extLst>
              <c:ext xmlns:c16="http://schemas.microsoft.com/office/drawing/2014/chart" uri="{C3380CC4-5D6E-409C-BE32-E72D297353CC}">
                <c16:uniqueId val="{00000003-0508-413C-9EDA-D7E8546E2FA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0508-413C-9EDA-D7E8546E2F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Analysis'!$D$13:$G$13</c:f>
              <c:numCache>
                <c:formatCode>0%</c:formatCode>
                <c:ptCount val="4"/>
                <c:pt idx="0">
                  <c:v>0.18190854870775341</c:v>
                </c:pt>
                <c:pt idx="1">
                  <c:v>2.6492851135407891E-2</c:v>
                </c:pt>
                <c:pt idx="2">
                  <c:v>-1.1368291683736209E-2</c:v>
                </c:pt>
                <c:pt idx="3">
                  <c:v>0.12203460064228744</c:v>
                </c:pt>
              </c:numCache>
            </c:numRef>
          </c:val>
          <c:extLst>
            <c:ext xmlns:c16="http://schemas.microsoft.com/office/drawing/2014/chart" uri="{C3380CC4-5D6E-409C-BE32-E72D297353CC}">
              <c16:uniqueId val="{00000000-0508-413C-9EDA-D7E8546E2FAB}"/>
            </c:ext>
          </c:extLst>
        </c:ser>
        <c:dLbls>
          <c:dLblPos val="outEnd"/>
          <c:showLegendKey val="0"/>
          <c:showVal val="1"/>
          <c:showCatName val="0"/>
          <c:showSerName val="0"/>
          <c:showPercent val="0"/>
          <c:showBubbleSize val="0"/>
        </c:dLbls>
        <c:gapWidth val="219"/>
        <c:overlap val="-27"/>
        <c:axId val="186826943"/>
        <c:axId val="186830783"/>
      </c:barChart>
      <c:catAx>
        <c:axId val="18682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30783"/>
        <c:crosses val="autoZero"/>
        <c:auto val="1"/>
        <c:lblAlgn val="ctr"/>
        <c:lblOffset val="100"/>
        <c:noMultiLvlLbl val="0"/>
      </c:catAx>
      <c:valAx>
        <c:axId val="186830783"/>
        <c:scaling>
          <c:orientation val="minMax"/>
        </c:scaling>
        <c:delete val="1"/>
        <c:axPos val="l"/>
        <c:numFmt formatCode="0%" sourceLinked="1"/>
        <c:majorTickMark val="none"/>
        <c:minorTickMark val="none"/>
        <c:tickLblPos val="nextTo"/>
        <c:crossAx val="18682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EAA9-4BCA-B1DC-5C93037660A1}"/>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EAA9-4BCA-B1DC-5C93037660A1}"/>
              </c:ext>
            </c:extLst>
          </c:dPt>
          <c:dPt>
            <c:idx val="2"/>
            <c:invertIfNegative val="0"/>
            <c:bubble3D val="0"/>
            <c:spPr>
              <a:solidFill>
                <a:srgbClr val="92D050"/>
              </a:solidFill>
              <a:ln>
                <a:noFill/>
              </a:ln>
              <a:effectLst/>
            </c:spPr>
            <c:extLst>
              <c:ext xmlns:c16="http://schemas.microsoft.com/office/drawing/2014/chart" uri="{C3380CC4-5D6E-409C-BE32-E72D297353CC}">
                <c16:uniqueId val="{00000003-EAA9-4BCA-B1DC-5C93037660A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EAA9-4BCA-B1DC-5C93037660A1}"/>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Analysis'!$D$59:$G$59</c:f>
              <c:numCache>
                <c:formatCode>0.00</c:formatCode>
                <c:ptCount val="4"/>
                <c:pt idx="0">
                  <c:v>1779</c:v>
                </c:pt>
                <c:pt idx="1">
                  <c:v>1954</c:v>
                </c:pt>
                <c:pt idx="2">
                  <c:v>2168</c:v>
                </c:pt>
                <c:pt idx="3">
                  <c:v>2139</c:v>
                </c:pt>
              </c:numCache>
            </c:numRef>
          </c:val>
          <c:extLst>
            <c:ext xmlns:c16="http://schemas.microsoft.com/office/drawing/2014/chart" uri="{C3380CC4-5D6E-409C-BE32-E72D297353CC}">
              <c16:uniqueId val="{00000000-EAA9-4BCA-B1DC-5C93037660A1}"/>
            </c:ext>
          </c:extLst>
        </c:ser>
        <c:dLbls>
          <c:dLblPos val="outEnd"/>
          <c:showLegendKey val="0"/>
          <c:showVal val="1"/>
          <c:showCatName val="0"/>
          <c:showSerName val="0"/>
          <c:showPercent val="0"/>
          <c:showBubbleSize val="0"/>
        </c:dLbls>
        <c:gapWidth val="219"/>
        <c:overlap val="-27"/>
        <c:axId val="333988751"/>
        <c:axId val="333989711"/>
      </c:barChart>
      <c:catAx>
        <c:axId val="33398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3989711"/>
        <c:crosses val="autoZero"/>
        <c:auto val="1"/>
        <c:lblAlgn val="ctr"/>
        <c:lblOffset val="100"/>
        <c:noMultiLvlLbl val="0"/>
      </c:catAx>
      <c:valAx>
        <c:axId val="333989711"/>
        <c:scaling>
          <c:orientation val="minMax"/>
        </c:scaling>
        <c:delete val="1"/>
        <c:axPos val="l"/>
        <c:numFmt formatCode="0.00" sourceLinked="1"/>
        <c:majorTickMark val="none"/>
        <c:minorTickMark val="none"/>
        <c:tickLblPos val="nextTo"/>
        <c:crossAx val="33398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9340-4C24-8E9A-B2EA30119CC8}"/>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9340-4C24-8E9A-B2EA30119CC8}"/>
              </c:ext>
            </c:extLst>
          </c:dPt>
          <c:dPt>
            <c:idx val="2"/>
            <c:invertIfNegative val="0"/>
            <c:bubble3D val="0"/>
            <c:spPr>
              <a:solidFill>
                <a:srgbClr val="92D050"/>
              </a:solidFill>
              <a:ln>
                <a:noFill/>
              </a:ln>
              <a:effectLst/>
            </c:spPr>
            <c:extLst>
              <c:ext xmlns:c16="http://schemas.microsoft.com/office/drawing/2014/chart" uri="{C3380CC4-5D6E-409C-BE32-E72D297353CC}">
                <c16:uniqueId val="{00000003-9340-4C24-8E9A-B2EA30119CC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9340-4C24-8E9A-B2EA30119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Analysis'!$D$58:$G$58</c:f>
              <c:numCache>
                <c:formatCode>0.00</c:formatCode>
                <c:ptCount val="4"/>
                <c:pt idx="0">
                  <c:v>1640</c:v>
                </c:pt>
                <c:pt idx="1">
                  <c:v>1799</c:v>
                </c:pt>
                <c:pt idx="2">
                  <c:v>2010</c:v>
                </c:pt>
                <c:pt idx="3">
                  <c:v>1961</c:v>
                </c:pt>
              </c:numCache>
            </c:numRef>
          </c:val>
          <c:extLst>
            <c:ext xmlns:c16="http://schemas.microsoft.com/office/drawing/2014/chart" uri="{C3380CC4-5D6E-409C-BE32-E72D297353CC}">
              <c16:uniqueId val="{00000000-9340-4C24-8E9A-B2EA30119CC8}"/>
            </c:ext>
          </c:extLst>
        </c:ser>
        <c:dLbls>
          <c:dLblPos val="outEnd"/>
          <c:showLegendKey val="0"/>
          <c:showVal val="1"/>
          <c:showCatName val="0"/>
          <c:showSerName val="0"/>
          <c:showPercent val="0"/>
          <c:showBubbleSize val="0"/>
        </c:dLbls>
        <c:gapWidth val="219"/>
        <c:overlap val="-27"/>
        <c:axId val="190441679"/>
        <c:axId val="190437839"/>
      </c:barChart>
      <c:catAx>
        <c:axId val="1904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7839"/>
        <c:crosses val="autoZero"/>
        <c:auto val="1"/>
        <c:lblAlgn val="ctr"/>
        <c:lblOffset val="100"/>
        <c:noMultiLvlLbl val="0"/>
      </c:catAx>
      <c:valAx>
        <c:axId val="190437839"/>
        <c:scaling>
          <c:orientation val="minMax"/>
        </c:scaling>
        <c:delete val="1"/>
        <c:axPos val="l"/>
        <c:numFmt formatCode="0.00" sourceLinked="1"/>
        <c:majorTickMark val="none"/>
        <c:minorTickMark val="none"/>
        <c:tickLblPos val="nextTo"/>
        <c:crossAx val="19044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CE1A-4F1B-92D1-ECDE99DB38C7}"/>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CE1A-4F1B-92D1-ECDE99DB38C7}"/>
              </c:ext>
            </c:extLst>
          </c:dPt>
          <c:dPt>
            <c:idx val="2"/>
            <c:invertIfNegative val="0"/>
            <c:bubble3D val="0"/>
            <c:spPr>
              <a:solidFill>
                <a:srgbClr val="92D050"/>
              </a:solidFill>
              <a:ln>
                <a:noFill/>
              </a:ln>
              <a:effectLst/>
            </c:spPr>
            <c:extLst>
              <c:ext xmlns:c16="http://schemas.microsoft.com/office/drawing/2014/chart" uri="{C3380CC4-5D6E-409C-BE32-E72D297353CC}">
                <c16:uniqueId val="{00000003-CE1A-4F1B-92D1-ECDE99DB38C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CE1A-4F1B-92D1-ECDE99DB38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Analysis'!$D$10:$G$11</c:f>
              <c:strCache>
                <c:ptCount val="4"/>
                <c:pt idx="0">
                  <c:v>2022 A</c:v>
                </c:pt>
                <c:pt idx="1">
                  <c:v>2023A</c:v>
                </c:pt>
                <c:pt idx="2">
                  <c:v>2024A</c:v>
                </c:pt>
                <c:pt idx="3">
                  <c:v>2025A</c:v>
                </c:pt>
              </c:strCache>
            </c:strRef>
          </c:cat>
          <c:val>
            <c:numRef>
              <c:f>'Ratio Analysis'!$D$52:$G$52</c:f>
              <c:numCache>
                <c:formatCode>0%</c:formatCode>
                <c:ptCount val="4"/>
                <c:pt idx="0">
                  <c:v>0.35119630614243741</c:v>
                </c:pt>
                <c:pt idx="1">
                  <c:v>0.34648145721399554</c:v>
                </c:pt>
                <c:pt idx="2">
                  <c:v>0.38478288715255538</c:v>
                </c:pt>
                <c:pt idx="3">
                  <c:v>0.31482451679515921</c:v>
                </c:pt>
              </c:numCache>
            </c:numRef>
          </c:val>
          <c:extLst>
            <c:ext xmlns:c16="http://schemas.microsoft.com/office/drawing/2014/chart" uri="{C3380CC4-5D6E-409C-BE32-E72D297353CC}">
              <c16:uniqueId val="{00000000-CE1A-4F1B-92D1-ECDE99DB38C7}"/>
            </c:ext>
          </c:extLst>
        </c:ser>
        <c:dLbls>
          <c:dLblPos val="outEnd"/>
          <c:showLegendKey val="0"/>
          <c:showVal val="1"/>
          <c:showCatName val="0"/>
          <c:showSerName val="0"/>
          <c:showPercent val="0"/>
          <c:showBubbleSize val="0"/>
        </c:dLbls>
        <c:gapWidth val="219"/>
        <c:overlap val="-27"/>
        <c:axId val="198086959"/>
        <c:axId val="198087439"/>
      </c:barChart>
      <c:catAx>
        <c:axId val="19808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7439"/>
        <c:crosses val="autoZero"/>
        <c:auto val="1"/>
        <c:lblAlgn val="ctr"/>
        <c:lblOffset val="100"/>
        <c:noMultiLvlLbl val="0"/>
      </c:catAx>
      <c:valAx>
        <c:axId val="198087439"/>
        <c:scaling>
          <c:orientation val="minMax"/>
        </c:scaling>
        <c:delete val="1"/>
        <c:axPos val="l"/>
        <c:numFmt formatCode="0%" sourceLinked="1"/>
        <c:majorTickMark val="none"/>
        <c:minorTickMark val="none"/>
        <c:tickLblPos val="nextTo"/>
        <c:crossAx val="19808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8964</xdr:colOff>
      <xdr:row>0</xdr:row>
      <xdr:rowOff>74010</xdr:rowOff>
    </xdr:from>
    <xdr:to>
      <xdr:col>39</xdr:col>
      <xdr:colOff>7398</xdr:colOff>
      <xdr:row>1</xdr:row>
      <xdr:rowOff>103573</xdr:rowOff>
    </xdr:to>
    <xdr:sp macro="" textlink="">
      <xdr:nvSpPr>
        <xdr:cNvPr id="2" name="Rectangle 1">
          <a:extLst>
            <a:ext uri="{FF2B5EF4-FFF2-40B4-BE49-F238E27FC236}">
              <a16:creationId xmlns:a16="http://schemas.microsoft.com/office/drawing/2014/main" id="{CC0489DC-4002-4645-8A93-87D0D05A891E}"/>
            </a:ext>
          </a:extLst>
        </xdr:cNvPr>
        <xdr:cNvSpPr/>
      </xdr:nvSpPr>
      <xdr:spPr>
        <a:xfrm>
          <a:off x="359484" y="74010"/>
          <a:ext cx="13112454" cy="212443"/>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169648</xdr:colOff>
      <xdr:row>2</xdr:row>
      <xdr:rowOff>16266</xdr:rowOff>
    </xdr:from>
    <xdr:to>
      <xdr:col>11</xdr:col>
      <xdr:colOff>96175</xdr:colOff>
      <xdr:row>4</xdr:row>
      <xdr:rowOff>21008</xdr:rowOff>
    </xdr:to>
    <xdr:grpSp>
      <xdr:nvGrpSpPr>
        <xdr:cNvPr id="3" name="Group 2">
          <a:extLst>
            <a:ext uri="{FF2B5EF4-FFF2-40B4-BE49-F238E27FC236}">
              <a16:creationId xmlns:a16="http://schemas.microsoft.com/office/drawing/2014/main" id="{B6EF92AC-F082-4671-AE18-C91B13B3468A}"/>
            </a:ext>
          </a:extLst>
        </xdr:cNvPr>
        <xdr:cNvGrpSpPr/>
      </xdr:nvGrpSpPr>
      <xdr:grpSpPr>
        <a:xfrm>
          <a:off x="2966636" y="374854"/>
          <a:ext cx="975398" cy="363330"/>
          <a:chOff x="2068497" y="355107"/>
          <a:chExt cx="979503" cy="492710"/>
        </a:xfrm>
      </xdr:grpSpPr>
      <xdr:sp macro="" textlink="">
        <xdr:nvSpPr>
          <xdr:cNvPr id="4" name="Rectangle 3">
            <a:extLst>
              <a:ext uri="{FF2B5EF4-FFF2-40B4-BE49-F238E27FC236}">
                <a16:creationId xmlns:a16="http://schemas.microsoft.com/office/drawing/2014/main" id="{B5884299-AD3A-7D57-FA01-98FDF6078283}"/>
              </a:ext>
            </a:extLst>
          </xdr:cNvPr>
          <xdr:cNvSpPr/>
        </xdr:nvSpPr>
        <xdr:spPr>
          <a:xfrm>
            <a:off x="2071456" y="355107"/>
            <a:ext cx="976544"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Market</a:t>
            </a:r>
            <a:r>
              <a:rPr lang="en-IN" sz="1100" b="1" baseline="0"/>
              <a:t> </a:t>
            </a:r>
            <a:r>
              <a:rPr lang="en-IN" sz="1100" b="1" baseline="0">
                <a:solidFill>
                  <a:srgbClr val="C00000"/>
                </a:solidFill>
              </a:rPr>
              <a:t>Cap</a:t>
            </a:r>
            <a:endParaRPr lang="en-IN" sz="1100" b="1"/>
          </a:p>
        </xdr:txBody>
      </xdr:sp>
      <xdr:sp macro="" textlink="">
        <xdr:nvSpPr>
          <xdr:cNvPr id="5" name="Rectangle 4">
            <a:extLst>
              <a:ext uri="{FF2B5EF4-FFF2-40B4-BE49-F238E27FC236}">
                <a16:creationId xmlns:a16="http://schemas.microsoft.com/office/drawing/2014/main" id="{2301AEAB-8B36-1864-366B-E8B6AFD0144D}"/>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102663 Cr</a:t>
            </a:r>
            <a:r>
              <a:rPr lang="en-IN" sz="1100"/>
              <a:t>.</a:t>
            </a:r>
          </a:p>
        </xdr:txBody>
      </xdr:sp>
    </xdr:grpSp>
    <xdr:clientData/>
  </xdr:twoCellAnchor>
  <xdr:twoCellAnchor>
    <xdr:from>
      <xdr:col>22</xdr:col>
      <xdr:colOff>86179</xdr:colOff>
      <xdr:row>2</xdr:row>
      <xdr:rowOff>7399</xdr:rowOff>
    </xdr:from>
    <xdr:to>
      <xdr:col>26</xdr:col>
      <xdr:colOff>224117</xdr:colOff>
      <xdr:row>4</xdr:row>
      <xdr:rowOff>5634</xdr:rowOff>
    </xdr:to>
    <xdr:grpSp>
      <xdr:nvGrpSpPr>
        <xdr:cNvPr id="6" name="Group 5">
          <a:extLst>
            <a:ext uri="{FF2B5EF4-FFF2-40B4-BE49-F238E27FC236}">
              <a16:creationId xmlns:a16="http://schemas.microsoft.com/office/drawing/2014/main" id="{CAAC036B-0021-4BAF-B749-2CE37FA52D41}"/>
            </a:ext>
          </a:extLst>
        </xdr:cNvPr>
        <xdr:cNvGrpSpPr/>
      </xdr:nvGrpSpPr>
      <xdr:grpSpPr>
        <a:xfrm>
          <a:off x="7858579" y="365987"/>
          <a:ext cx="1195773" cy="356823"/>
          <a:chOff x="2082859" y="363664"/>
          <a:chExt cx="947824" cy="484152"/>
        </a:xfrm>
      </xdr:grpSpPr>
      <xdr:sp macro="" textlink="">
        <xdr:nvSpPr>
          <xdr:cNvPr id="7" name="Rectangle 6">
            <a:extLst>
              <a:ext uri="{FF2B5EF4-FFF2-40B4-BE49-F238E27FC236}">
                <a16:creationId xmlns:a16="http://schemas.microsoft.com/office/drawing/2014/main" id="{913754D3-4302-3554-79F7-ECA881CA9737}"/>
              </a:ext>
            </a:extLst>
          </xdr:cNvPr>
          <xdr:cNvSpPr/>
        </xdr:nvSpPr>
        <xdr:spPr>
          <a:xfrm>
            <a:off x="2083145" y="363664"/>
            <a:ext cx="946306" cy="233508"/>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Revenue</a:t>
            </a:r>
            <a:r>
              <a:rPr lang="en-IN" sz="1100" b="1" baseline="0">
                <a:solidFill>
                  <a:srgbClr val="C00000"/>
                </a:solidFill>
              </a:rPr>
              <a:t> Growth</a:t>
            </a:r>
            <a:endParaRPr lang="en-IN" sz="1100" b="1">
              <a:solidFill>
                <a:srgbClr val="C00000"/>
              </a:solidFill>
            </a:endParaRPr>
          </a:p>
        </xdr:txBody>
      </xdr:sp>
      <xdr:sp macro="" textlink="">
        <xdr:nvSpPr>
          <xdr:cNvPr id="8" name="Rectangle 7">
            <a:extLst>
              <a:ext uri="{FF2B5EF4-FFF2-40B4-BE49-F238E27FC236}">
                <a16:creationId xmlns:a16="http://schemas.microsoft.com/office/drawing/2014/main" id="{EB64BBA6-BB8A-3F3E-A00C-597FA2AD2509}"/>
              </a:ext>
            </a:extLst>
          </xdr:cNvPr>
          <xdr:cNvSpPr/>
        </xdr:nvSpPr>
        <xdr:spPr>
          <a:xfrm>
            <a:off x="2082859" y="603680"/>
            <a:ext cx="94782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12%</a:t>
            </a:r>
          </a:p>
        </xdr:txBody>
      </xdr:sp>
    </xdr:grpSp>
    <xdr:clientData/>
  </xdr:twoCellAnchor>
  <xdr:twoCellAnchor>
    <xdr:from>
      <xdr:col>13</xdr:col>
      <xdr:colOff>122181</xdr:colOff>
      <xdr:row>1</xdr:row>
      <xdr:rowOff>181810</xdr:rowOff>
    </xdr:from>
    <xdr:to>
      <xdr:col>16</xdr:col>
      <xdr:colOff>44390</xdr:colOff>
      <xdr:row>4</xdr:row>
      <xdr:rowOff>14795</xdr:rowOff>
    </xdr:to>
    <xdr:grpSp>
      <xdr:nvGrpSpPr>
        <xdr:cNvPr id="9" name="Group 8">
          <a:extLst>
            <a:ext uri="{FF2B5EF4-FFF2-40B4-BE49-F238E27FC236}">
              <a16:creationId xmlns:a16="http://schemas.microsoft.com/office/drawing/2014/main" id="{74646374-953E-40C9-96F5-D096C6D5B93D}"/>
            </a:ext>
          </a:extLst>
        </xdr:cNvPr>
        <xdr:cNvGrpSpPr/>
      </xdr:nvGrpSpPr>
      <xdr:grpSpPr>
        <a:xfrm>
          <a:off x="4667287" y="361104"/>
          <a:ext cx="971079" cy="370867"/>
          <a:chOff x="2068497" y="364837"/>
          <a:chExt cx="979504" cy="482980"/>
        </a:xfrm>
      </xdr:grpSpPr>
      <xdr:sp macro="" textlink="">
        <xdr:nvSpPr>
          <xdr:cNvPr id="10" name="Rectangle 9">
            <a:extLst>
              <a:ext uri="{FF2B5EF4-FFF2-40B4-BE49-F238E27FC236}">
                <a16:creationId xmlns:a16="http://schemas.microsoft.com/office/drawing/2014/main" id="{979FC1EB-3FEB-0D2A-7DCD-FD1866D5947F}"/>
              </a:ext>
            </a:extLst>
          </xdr:cNvPr>
          <xdr:cNvSpPr/>
        </xdr:nvSpPr>
        <xdr:spPr>
          <a:xfrm>
            <a:off x="2071456" y="364837"/>
            <a:ext cx="976545"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Revenue</a:t>
            </a:r>
          </a:p>
        </xdr:txBody>
      </xdr:sp>
      <xdr:sp macro="" textlink="">
        <xdr:nvSpPr>
          <xdr:cNvPr id="11" name="Rectangle 10">
            <a:extLst>
              <a:ext uri="{FF2B5EF4-FFF2-40B4-BE49-F238E27FC236}">
                <a16:creationId xmlns:a16="http://schemas.microsoft.com/office/drawing/2014/main" id="{7F8DBD6D-6D15-2681-E02B-76208BF4172F}"/>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13008</a:t>
            </a:r>
          </a:p>
        </xdr:txBody>
      </xdr:sp>
    </xdr:grpSp>
    <xdr:clientData/>
  </xdr:twoCellAnchor>
  <xdr:twoCellAnchor>
    <xdr:from>
      <xdr:col>17</xdr:col>
      <xdr:colOff>409677</xdr:colOff>
      <xdr:row>2</xdr:row>
      <xdr:rowOff>1253</xdr:rowOff>
    </xdr:from>
    <xdr:to>
      <xdr:col>20</xdr:col>
      <xdr:colOff>335810</xdr:colOff>
      <xdr:row>4</xdr:row>
      <xdr:rowOff>0</xdr:rowOff>
    </xdr:to>
    <xdr:grpSp>
      <xdr:nvGrpSpPr>
        <xdr:cNvPr id="12" name="Group 11">
          <a:extLst>
            <a:ext uri="{FF2B5EF4-FFF2-40B4-BE49-F238E27FC236}">
              <a16:creationId xmlns:a16="http://schemas.microsoft.com/office/drawing/2014/main" id="{3900F8DD-AEA7-4F85-8B9E-C446CE50FD7B}"/>
            </a:ext>
          </a:extLst>
        </xdr:cNvPr>
        <xdr:cNvGrpSpPr/>
      </xdr:nvGrpSpPr>
      <xdr:grpSpPr>
        <a:xfrm>
          <a:off x="6353277" y="359841"/>
          <a:ext cx="1055686" cy="357335"/>
          <a:chOff x="2057445" y="355107"/>
          <a:chExt cx="979288" cy="492710"/>
        </a:xfrm>
      </xdr:grpSpPr>
      <xdr:sp macro="" textlink="">
        <xdr:nvSpPr>
          <xdr:cNvPr id="13" name="Rectangle 12">
            <a:extLst>
              <a:ext uri="{FF2B5EF4-FFF2-40B4-BE49-F238E27FC236}">
                <a16:creationId xmlns:a16="http://schemas.microsoft.com/office/drawing/2014/main" id="{EC9614B3-0D0C-5DEE-2785-6F3FFE95A31B}"/>
              </a:ext>
            </a:extLst>
          </xdr:cNvPr>
          <xdr:cNvSpPr/>
        </xdr:nvSpPr>
        <xdr:spPr>
          <a:xfrm>
            <a:off x="2057445" y="355107"/>
            <a:ext cx="976544" cy="244137"/>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Net</a:t>
            </a:r>
            <a:r>
              <a:rPr lang="en-IN" sz="1100" b="1" baseline="0">
                <a:solidFill>
                  <a:srgbClr val="C00000"/>
                </a:solidFill>
              </a:rPr>
              <a:t> Profit</a:t>
            </a:r>
            <a:r>
              <a:rPr lang="en-IN" sz="1100"/>
              <a:t>	</a:t>
            </a:r>
          </a:p>
        </xdr:txBody>
      </xdr:sp>
      <xdr:sp macro="" textlink="">
        <xdr:nvSpPr>
          <xdr:cNvPr id="14" name="Rectangle 13">
            <a:extLst>
              <a:ext uri="{FF2B5EF4-FFF2-40B4-BE49-F238E27FC236}">
                <a16:creationId xmlns:a16="http://schemas.microsoft.com/office/drawing/2014/main" id="{E78F5B67-3AF6-8883-93F7-42088FCBDF1E}"/>
              </a:ext>
            </a:extLst>
          </xdr:cNvPr>
          <xdr:cNvSpPr/>
        </xdr:nvSpPr>
        <xdr:spPr>
          <a:xfrm>
            <a:off x="2060189"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1750</a:t>
            </a:r>
          </a:p>
        </xdr:txBody>
      </xdr:sp>
    </xdr:grpSp>
    <xdr:clientData/>
  </xdr:twoCellAnchor>
  <xdr:twoCellAnchor>
    <xdr:from>
      <xdr:col>28</xdr:col>
      <xdr:colOff>14795</xdr:colOff>
      <xdr:row>1</xdr:row>
      <xdr:rowOff>169561</xdr:rowOff>
    </xdr:from>
    <xdr:to>
      <xdr:col>30</xdr:col>
      <xdr:colOff>340309</xdr:colOff>
      <xdr:row>3</xdr:row>
      <xdr:rowOff>174303</xdr:rowOff>
    </xdr:to>
    <xdr:grpSp>
      <xdr:nvGrpSpPr>
        <xdr:cNvPr id="15" name="Group 14">
          <a:extLst>
            <a:ext uri="{FF2B5EF4-FFF2-40B4-BE49-F238E27FC236}">
              <a16:creationId xmlns:a16="http://schemas.microsoft.com/office/drawing/2014/main" id="{443D82E9-B888-4F6B-9411-5CEBC4A98C0E}"/>
            </a:ext>
          </a:extLst>
        </xdr:cNvPr>
        <xdr:cNvGrpSpPr/>
      </xdr:nvGrpSpPr>
      <xdr:grpSpPr>
        <a:xfrm>
          <a:off x="9544277" y="348855"/>
          <a:ext cx="1024761" cy="363330"/>
          <a:chOff x="2068497" y="355107"/>
          <a:chExt cx="979503" cy="492710"/>
        </a:xfrm>
      </xdr:grpSpPr>
      <xdr:sp macro="" textlink="">
        <xdr:nvSpPr>
          <xdr:cNvPr id="16" name="Rectangle 15">
            <a:extLst>
              <a:ext uri="{FF2B5EF4-FFF2-40B4-BE49-F238E27FC236}">
                <a16:creationId xmlns:a16="http://schemas.microsoft.com/office/drawing/2014/main" id="{181573F1-A214-B7F2-6A4E-6E342C063F30}"/>
              </a:ext>
            </a:extLst>
          </xdr:cNvPr>
          <xdr:cNvSpPr/>
        </xdr:nvSpPr>
        <xdr:spPr>
          <a:xfrm>
            <a:off x="2071456" y="355107"/>
            <a:ext cx="976544"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ROE</a:t>
            </a:r>
          </a:p>
        </xdr:txBody>
      </xdr:sp>
      <xdr:sp macro="" textlink="">
        <xdr:nvSpPr>
          <xdr:cNvPr id="17" name="Rectangle 16">
            <a:extLst>
              <a:ext uri="{FF2B5EF4-FFF2-40B4-BE49-F238E27FC236}">
                <a16:creationId xmlns:a16="http://schemas.microsoft.com/office/drawing/2014/main" id="{F731CA35-103C-5A1E-DDFD-67E866EB77BC}"/>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35%</a:t>
            </a:r>
            <a:br>
              <a:rPr lang="en-IN" sz="1100"/>
            </a:br>
            <a:endParaRPr lang="en-IN" sz="1100"/>
          </a:p>
        </xdr:txBody>
      </xdr:sp>
    </xdr:grpSp>
    <xdr:clientData/>
  </xdr:twoCellAnchor>
  <xdr:twoCellAnchor>
    <xdr:from>
      <xdr:col>33</xdr:col>
      <xdr:colOff>7399</xdr:colOff>
      <xdr:row>2</xdr:row>
      <xdr:rowOff>1006</xdr:rowOff>
    </xdr:from>
    <xdr:to>
      <xdr:col>35</xdr:col>
      <xdr:colOff>340310</xdr:colOff>
      <xdr:row>4</xdr:row>
      <xdr:rowOff>3676</xdr:rowOff>
    </xdr:to>
    <xdr:grpSp>
      <xdr:nvGrpSpPr>
        <xdr:cNvPr id="18" name="Group 17">
          <a:extLst>
            <a:ext uri="{FF2B5EF4-FFF2-40B4-BE49-F238E27FC236}">
              <a16:creationId xmlns:a16="http://schemas.microsoft.com/office/drawing/2014/main" id="{3AF6B07F-9602-48AF-BEF4-3FB95AD77BCC}"/>
            </a:ext>
          </a:extLst>
        </xdr:cNvPr>
        <xdr:cNvGrpSpPr/>
      </xdr:nvGrpSpPr>
      <xdr:grpSpPr>
        <a:xfrm>
          <a:off x="11284999" y="359594"/>
          <a:ext cx="1076982" cy="361258"/>
          <a:chOff x="2068497" y="355107"/>
          <a:chExt cx="979503" cy="492710"/>
        </a:xfrm>
      </xdr:grpSpPr>
      <xdr:sp macro="" textlink="">
        <xdr:nvSpPr>
          <xdr:cNvPr id="19" name="Rectangle 18">
            <a:extLst>
              <a:ext uri="{FF2B5EF4-FFF2-40B4-BE49-F238E27FC236}">
                <a16:creationId xmlns:a16="http://schemas.microsoft.com/office/drawing/2014/main" id="{78A681D8-7496-DABC-DC71-F67674F4AF41}"/>
              </a:ext>
            </a:extLst>
          </xdr:cNvPr>
          <xdr:cNvSpPr/>
        </xdr:nvSpPr>
        <xdr:spPr>
          <a:xfrm>
            <a:off x="2071456" y="355107"/>
            <a:ext cx="976544" cy="2441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ROCE</a:t>
            </a:r>
          </a:p>
        </xdr:txBody>
      </xdr:sp>
      <xdr:sp macro="" textlink="">
        <xdr:nvSpPr>
          <xdr:cNvPr id="20" name="Rectangle 19">
            <a:extLst>
              <a:ext uri="{FF2B5EF4-FFF2-40B4-BE49-F238E27FC236}">
                <a16:creationId xmlns:a16="http://schemas.microsoft.com/office/drawing/2014/main" id="{2A473771-6243-B22F-D9D3-FDCB39308A19}"/>
              </a:ext>
            </a:extLst>
          </xdr:cNvPr>
          <xdr:cNvSpPr/>
        </xdr:nvSpPr>
        <xdr:spPr>
          <a:xfrm>
            <a:off x="2068497" y="603681"/>
            <a:ext cx="976544" cy="244136"/>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104%</a:t>
            </a:r>
          </a:p>
        </xdr:txBody>
      </xdr:sp>
    </xdr:grpSp>
    <xdr:clientData/>
  </xdr:twoCellAnchor>
  <xdr:twoCellAnchor>
    <xdr:from>
      <xdr:col>0</xdr:col>
      <xdr:colOff>347795</xdr:colOff>
      <xdr:row>8</xdr:row>
      <xdr:rowOff>177275</xdr:rowOff>
    </xdr:from>
    <xdr:to>
      <xdr:col>5</xdr:col>
      <xdr:colOff>167268</xdr:colOff>
      <xdr:row>10</xdr:row>
      <xdr:rowOff>176560</xdr:rowOff>
    </xdr:to>
    <xdr:sp macro="" textlink="">
      <xdr:nvSpPr>
        <xdr:cNvPr id="22" name="Rectangle 21">
          <a:extLst>
            <a:ext uri="{FF2B5EF4-FFF2-40B4-BE49-F238E27FC236}">
              <a16:creationId xmlns:a16="http://schemas.microsoft.com/office/drawing/2014/main" id="{1686282C-2CFC-449C-B270-F265F693B19C}"/>
            </a:ext>
          </a:extLst>
        </xdr:cNvPr>
        <xdr:cNvSpPr/>
      </xdr:nvSpPr>
      <xdr:spPr>
        <a:xfrm>
          <a:off x="347795" y="1640315"/>
          <a:ext cx="1572073" cy="365045"/>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FINANCIAL</a:t>
          </a:r>
          <a:r>
            <a:rPr lang="en-IN" sz="1100" b="1" baseline="0">
              <a:solidFill>
                <a:srgbClr val="C00000"/>
              </a:solidFill>
            </a:rPr>
            <a:t> YEAR : 2025</a:t>
          </a:r>
          <a:endParaRPr lang="en-IN" sz="1100" b="1">
            <a:solidFill>
              <a:srgbClr val="C00000"/>
            </a:solidFill>
          </a:endParaRPr>
        </a:p>
      </xdr:txBody>
    </xdr:sp>
    <xdr:clientData/>
  </xdr:twoCellAnchor>
  <xdr:twoCellAnchor>
    <xdr:from>
      <xdr:col>28</xdr:col>
      <xdr:colOff>244241</xdr:colOff>
      <xdr:row>12</xdr:row>
      <xdr:rowOff>148683</xdr:rowOff>
    </xdr:from>
    <xdr:to>
      <xdr:col>39</xdr:col>
      <xdr:colOff>27879</xdr:colOff>
      <xdr:row>14</xdr:row>
      <xdr:rowOff>1859</xdr:rowOff>
    </xdr:to>
    <xdr:sp macro="" textlink="">
      <xdr:nvSpPr>
        <xdr:cNvPr id="23" name="Rectangle 22">
          <a:extLst>
            <a:ext uri="{FF2B5EF4-FFF2-40B4-BE49-F238E27FC236}">
              <a16:creationId xmlns:a16="http://schemas.microsoft.com/office/drawing/2014/main" id="{2B176C3D-2B82-481C-BA5A-CD56083DC3CC}"/>
            </a:ext>
          </a:extLst>
        </xdr:cNvPr>
        <xdr:cNvSpPr/>
      </xdr:nvSpPr>
      <xdr:spPr>
        <a:xfrm>
          <a:off x="9799721" y="2343243"/>
          <a:ext cx="3692698" cy="2189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EBITDA</a:t>
          </a:r>
          <a:r>
            <a:rPr lang="en-IN" sz="1100" b="1" baseline="0">
              <a:solidFill>
                <a:srgbClr val="C00000"/>
              </a:solidFill>
            </a:rPr>
            <a:t> MARGIN (%)</a:t>
          </a:r>
          <a:endParaRPr lang="en-IN" sz="1100" b="1">
            <a:solidFill>
              <a:srgbClr val="C00000"/>
            </a:solidFill>
          </a:endParaRPr>
        </a:p>
      </xdr:txBody>
    </xdr:sp>
    <xdr:clientData/>
  </xdr:twoCellAnchor>
  <xdr:twoCellAnchor>
    <xdr:from>
      <xdr:col>0</xdr:col>
      <xdr:colOff>303714</xdr:colOff>
      <xdr:row>12</xdr:row>
      <xdr:rowOff>152401</xdr:rowOff>
    </xdr:from>
    <xdr:to>
      <xdr:col>11</xdr:col>
      <xdr:colOff>143108</xdr:colOff>
      <xdr:row>14</xdr:row>
      <xdr:rowOff>5577</xdr:rowOff>
    </xdr:to>
    <xdr:sp macro="" textlink="">
      <xdr:nvSpPr>
        <xdr:cNvPr id="24" name="Rectangle 23">
          <a:extLst>
            <a:ext uri="{FF2B5EF4-FFF2-40B4-BE49-F238E27FC236}">
              <a16:creationId xmlns:a16="http://schemas.microsoft.com/office/drawing/2014/main" id="{66433F66-E508-4155-B421-1D38BD8A3BB5}"/>
            </a:ext>
          </a:extLst>
        </xdr:cNvPr>
        <xdr:cNvSpPr/>
      </xdr:nvSpPr>
      <xdr:spPr>
        <a:xfrm>
          <a:off x="303714" y="2315498"/>
          <a:ext cx="3714942" cy="213692"/>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REVENUE</a:t>
          </a:r>
          <a:r>
            <a:rPr lang="en-IN" sz="1100" b="1" baseline="0">
              <a:solidFill>
                <a:srgbClr val="C00000"/>
              </a:solidFill>
            </a:rPr>
            <a:t> GROWTH (%)</a:t>
          </a:r>
          <a:endParaRPr lang="en-IN" sz="1100" b="1">
            <a:solidFill>
              <a:srgbClr val="C00000"/>
            </a:solidFill>
          </a:endParaRPr>
        </a:p>
      </xdr:txBody>
    </xdr:sp>
    <xdr:clientData/>
  </xdr:twoCellAnchor>
  <xdr:twoCellAnchor>
    <xdr:from>
      <xdr:col>15</xdr:col>
      <xdr:colOff>18586</xdr:colOff>
      <xdr:row>12</xdr:row>
      <xdr:rowOff>157976</xdr:rowOff>
    </xdr:from>
    <xdr:to>
      <xdr:col>24</xdr:col>
      <xdr:colOff>238979</xdr:colOff>
      <xdr:row>14</xdr:row>
      <xdr:rowOff>11152</xdr:rowOff>
    </xdr:to>
    <xdr:sp macro="" textlink="">
      <xdr:nvSpPr>
        <xdr:cNvPr id="25" name="Rectangle 24">
          <a:extLst>
            <a:ext uri="{FF2B5EF4-FFF2-40B4-BE49-F238E27FC236}">
              <a16:creationId xmlns:a16="http://schemas.microsoft.com/office/drawing/2014/main" id="{0C51FE32-2E56-413A-8E58-2B848BD13DD0}"/>
            </a:ext>
          </a:extLst>
        </xdr:cNvPr>
        <xdr:cNvSpPr/>
      </xdr:nvSpPr>
      <xdr:spPr>
        <a:xfrm>
          <a:off x="5276386" y="2352536"/>
          <a:ext cx="3458893" cy="218936"/>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GROWTH</a:t>
          </a:r>
          <a:r>
            <a:rPr lang="en-IN" sz="1100" b="1" baseline="0">
              <a:solidFill>
                <a:srgbClr val="C00000"/>
              </a:solidFill>
            </a:rPr>
            <a:t> PROFIT MARGIN (%)</a:t>
          </a:r>
          <a:endParaRPr lang="en-IN" sz="1100" b="1">
            <a:solidFill>
              <a:srgbClr val="C00000"/>
            </a:solidFill>
          </a:endParaRPr>
        </a:p>
      </xdr:txBody>
    </xdr:sp>
    <xdr:clientData/>
  </xdr:twoCellAnchor>
  <xdr:twoCellAnchor>
    <xdr:from>
      <xdr:col>1</xdr:col>
      <xdr:colOff>3718</xdr:colOff>
      <xdr:row>25</xdr:row>
      <xdr:rowOff>161694</xdr:rowOff>
    </xdr:from>
    <xdr:to>
      <xdr:col>11</xdr:col>
      <xdr:colOff>196234</xdr:colOff>
      <xdr:row>27</xdr:row>
      <xdr:rowOff>14869</xdr:rowOff>
    </xdr:to>
    <xdr:sp macro="" textlink="">
      <xdr:nvSpPr>
        <xdr:cNvPr id="26" name="Rectangle 25">
          <a:extLst>
            <a:ext uri="{FF2B5EF4-FFF2-40B4-BE49-F238E27FC236}">
              <a16:creationId xmlns:a16="http://schemas.microsoft.com/office/drawing/2014/main" id="{11E0025D-B4F1-41BB-A574-6F314189FDBF}"/>
            </a:ext>
          </a:extLst>
        </xdr:cNvPr>
        <xdr:cNvSpPr/>
      </xdr:nvSpPr>
      <xdr:spPr>
        <a:xfrm>
          <a:off x="354238" y="4733694"/>
          <a:ext cx="3697716" cy="218935"/>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EBITDA</a:t>
          </a:r>
          <a:r>
            <a:rPr lang="en-IN" sz="1100" b="1" baseline="0">
              <a:solidFill>
                <a:srgbClr val="C00000"/>
              </a:solidFill>
            </a:rPr>
            <a:t> (INR CRORES)</a:t>
          </a:r>
          <a:endParaRPr lang="en-IN" sz="1100" b="1">
            <a:solidFill>
              <a:srgbClr val="C00000"/>
            </a:solidFill>
          </a:endParaRPr>
        </a:p>
      </xdr:txBody>
    </xdr:sp>
    <xdr:clientData/>
  </xdr:twoCellAnchor>
  <xdr:twoCellAnchor>
    <xdr:from>
      <xdr:col>14</xdr:col>
      <xdr:colOff>276923</xdr:colOff>
      <xdr:row>26</xdr:row>
      <xdr:rowOff>16728</xdr:rowOff>
    </xdr:from>
    <xdr:to>
      <xdr:col>24</xdr:col>
      <xdr:colOff>144194</xdr:colOff>
      <xdr:row>27</xdr:row>
      <xdr:rowOff>55757</xdr:rowOff>
    </xdr:to>
    <xdr:sp macro="" textlink="">
      <xdr:nvSpPr>
        <xdr:cNvPr id="27" name="Rectangle 26">
          <a:extLst>
            <a:ext uri="{FF2B5EF4-FFF2-40B4-BE49-F238E27FC236}">
              <a16:creationId xmlns:a16="http://schemas.microsoft.com/office/drawing/2014/main" id="{976D790D-0046-48D3-9A61-C020AF71E444}"/>
            </a:ext>
          </a:extLst>
        </xdr:cNvPr>
        <xdr:cNvSpPr/>
      </xdr:nvSpPr>
      <xdr:spPr>
        <a:xfrm>
          <a:off x="5184203" y="4771608"/>
          <a:ext cx="3456291" cy="221909"/>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EBIT</a:t>
          </a:r>
          <a:r>
            <a:rPr lang="en-IN" sz="1100" b="1" baseline="0">
              <a:solidFill>
                <a:srgbClr val="C00000"/>
              </a:solidFill>
            </a:rPr>
            <a:t> (INR CRORES)</a:t>
          </a:r>
          <a:endParaRPr lang="en-IN" sz="1100" b="1">
            <a:solidFill>
              <a:srgbClr val="C00000"/>
            </a:solidFill>
          </a:endParaRPr>
        </a:p>
      </xdr:txBody>
    </xdr:sp>
    <xdr:clientData/>
  </xdr:twoCellAnchor>
  <xdr:twoCellAnchor>
    <xdr:from>
      <xdr:col>28</xdr:col>
      <xdr:colOff>271347</xdr:colOff>
      <xdr:row>26</xdr:row>
      <xdr:rowOff>1860</xdr:rowOff>
    </xdr:from>
    <xdr:to>
      <xdr:col>39</xdr:col>
      <xdr:colOff>54985</xdr:colOff>
      <xdr:row>27</xdr:row>
      <xdr:rowOff>40889</xdr:rowOff>
    </xdr:to>
    <xdr:sp macro="" textlink="">
      <xdr:nvSpPr>
        <xdr:cNvPr id="28" name="Rectangle 27">
          <a:extLst>
            <a:ext uri="{FF2B5EF4-FFF2-40B4-BE49-F238E27FC236}">
              <a16:creationId xmlns:a16="http://schemas.microsoft.com/office/drawing/2014/main" id="{EBD916DE-1849-4841-8690-2A225832C455}"/>
            </a:ext>
          </a:extLst>
        </xdr:cNvPr>
        <xdr:cNvSpPr/>
      </xdr:nvSpPr>
      <xdr:spPr>
        <a:xfrm>
          <a:off x="9826827" y="4756740"/>
          <a:ext cx="3692698" cy="221909"/>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C00000"/>
              </a:solidFill>
            </a:rPr>
            <a:t>ROE</a:t>
          </a:r>
          <a:r>
            <a:rPr lang="en-IN" sz="1100" b="1" baseline="0">
              <a:solidFill>
                <a:srgbClr val="C00000"/>
              </a:solidFill>
            </a:rPr>
            <a:t> (%)</a:t>
          </a:r>
          <a:endParaRPr lang="en-IN" sz="1100" b="1">
            <a:solidFill>
              <a:srgbClr val="C00000"/>
            </a:solidFill>
          </a:endParaRPr>
        </a:p>
      </xdr:txBody>
    </xdr:sp>
    <xdr:clientData/>
  </xdr:twoCellAnchor>
  <xdr:twoCellAnchor>
    <xdr:from>
      <xdr:col>1</xdr:col>
      <xdr:colOff>17780</xdr:colOff>
      <xdr:row>15</xdr:row>
      <xdr:rowOff>35562</xdr:rowOff>
    </xdr:from>
    <xdr:to>
      <xdr:col>10</xdr:col>
      <xdr:colOff>289832</xdr:colOff>
      <xdr:row>25</xdr:row>
      <xdr:rowOff>31298</xdr:rowOff>
    </xdr:to>
    <xdr:graphicFrame macro="">
      <xdr:nvGraphicFramePr>
        <xdr:cNvPr id="29" name="Chart 28">
          <a:extLst>
            <a:ext uri="{FF2B5EF4-FFF2-40B4-BE49-F238E27FC236}">
              <a16:creationId xmlns:a16="http://schemas.microsoft.com/office/drawing/2014/main" id="{68876293-4A04-430E-BB4F-FEE02CC8F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310413</xdr:colOff>
      <xdr:row>14</xdr:row>
      <xdr:rowOff>167822</xdr:rowOff>
    </xdr:from>
    <xdr:to>
      <xdr:col>38</xdr:col>
      <xdr:colOff>277132</xdr:colOff>
      <xdr:row>24</xdr:row>
      <xdr:rowOff>172357</xdr:rowOff>
    </xdr:to>
    <xdr:graphicFrame macro="">
      <xdr:nvGraphicFramePr>
        <xdr:cNvPr id="30" name="Chart 29">
          <a:extLst>
            <a:ext uri="{FF2B5EF4-FFF2-40B4-BE49-F238E27FC236}">
              <a16:creationId xmlns:a16="http://schemas.microsoft.com/office/drawing/2014/main" id="{D908223F-12D0-4EB0-8EA9-89378A5CB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66675</xdr:colOff>
      <xdr:row>28</xdr:row>
      <xdr:rowOff>114299</xdr:rowOff>
    </xdr:from>
    <xdr:to>
      <xdr:col>11</xdr:col>
      <xdr:colOff>76200</xdr:colOff>
      <xdr:row>39</xdr:row>
      <xdr:rowOff>95249</xdr:rowOff>
    </xdr:to>
    <xdr:graphicFrame macro="">
      <xdr:nvGraphicFramePr>
        <xdr:cNvPr id="31" name="Chart 30">
          <a:extLst>
            <a:ext uri="{FF2B5EF4-FFF2-40B4-BE49-F238E27FC236}">
              <a16:creationId xmlns:a16="http://schemas.microsoft.com/office/drawing/2014/main" id="{D05E9B3A-CF3B-4AEB-95C6-080996F71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209550</xdr:colOff>
      <xdr:row>29</xdr:row>
      <xdr:rowOff>19050</xdr:rowOff>
    </xdr:from>
    <xdr:to>
      <xdr:col>23</xdr:col>
      <xdr:colOff>276225</xdr:colOff>
      <xdr:row>39</xdr:row>
      <xdr:rowOff>66675</xdr:rowOff>
    </xdr:to>
    <xdr:graphicFrame macro="">
      <xdr:nvGraphicFramePr>
        <xdr:cNvPr id="32" name="Chart 31">
          <a:extLst>
            <a:ext uri="{FF2B5EF4-FFF2-40B4-BE49-F238E27FC236}">
              <a16:creationId xmlns:a16="http://schemas.microsoft.com/office/drawing/2014/main" id="{D7DE62C4-9835-480E-AAD3-67ABF3523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47626</xdr:colOff>
      <xdr:row>28</xdr:row>
      <xdr:rowOff>136072</xdr:rowOff>
    </xdr:from>
    <xdr:to>
      <xdr:col>39</xdr:col>
      <xdr:colOff>117929</xdr:colOff>
      <xdr:row>40</xdr:row>
      <xdr:rowOff>1</xdr:rowOff>
    </xdr:to>
    <xdr:graphicFrame macro="">
      <xdr:nvGraphicFramePr>
        <xdr:cNvPr id="33" name="Chart 32">
          <a:extLst>
            <a:ext uri="{FF2B5EF4-FFF2-40B4-BE49-F238E27FC236}">
              <a16:creationId xmlns:a16="http://schemas.microsoft.com/office/drawing/2014/main" id="{3B30018B-63C3-4660-9ABB-F48EE264C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145143</xdr:colOff>
      <xdr:row>14</xdr:row>
      <xdr:rowOff>154215</xdr:rowOff>
    </xdr:from>
    <xdr:to>
      <xdr:col>24</xdr:col>
      <xdr:colOff>172357</xdr:colOff>
      <xdr:row>25</xdr:row>
      <xdr:rowOff>63501</xdr:rowOff>
    </xdr:to>
    <xdr:graphicFrame macro="">
      <xdr:nvGraphicFramePr>
        <xdr:cNvPr id="34" name="Chart 33">
          <a:extLst>
            <a:ext uri="{FF2B5EF4-FFF2-40B4-BE49-F238E27FC236}">
              <a16:creationId xmlns:a16="http://schemas.microsoft.com/office/drawing/2014/main" id="{95452B05-19D6-47AE-800E-1EA011C07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68581</xdr:colOff>
      <xdr:row>1</xdr:row>
      <xdr:rowOff>137161</xdr:rowOff>
    </xdr:from>
    <xdr:to>
      <xdr:col>5</xdr:col>
      <xdr:colOff>53341</xdr:colOff>
      <xdr:row>8</xdr:row>
      <xdr:rowOff>7620</xdr:rowOff>
    </xdr:to>
    <xdr:pic>
      <xdr:nvPicPr>
        <xdr:cNvPr id="41" name="Picture 40">
          <a:extLst>
            <a:ext uri="{FF2B5EF4-FFF2-40B4-BE49-F238E27FC236}">
              <a16:creationId xmlns:a16="http://schemas.microsoft.com/office/drawing/2014/main" id="{D1698A6D-30B0-747C-6D04-8EEB6EA7AC7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19101" y="320041"/>
          <a:ext cx="1386840" cy="1150619"/>
        </a:xfrm>
        <a:prstGeom prst="rect">
          <a:avLst/>
        </a:prstGeom>
      </xdr:spPr>
    </xdr:pic>
    <xdr:clientData/>
  </xdr:twoCellAnchor>
  <xdr:twoCellAnchor>
    <xdr:from>
      <xdr:col>6</xdr:col>
      <xdr:colOff>259977</xdr:colOff>
      <xdr:row>4</xdr:row>
      <xdr:rowOff>125506</xdr:rowOff>
    </xdr:from>
    <xdr:to>
      <xdr:col>38</xdr:col>
      <xdr:colOff>295835</xdr:colOff>
      <xdr:row>7</xdr:row>
      <xdr:rowOff>134470</xdr:rowOff>
    </xdr:to>
    <xdr:sp macro="" textlink="">
      <xdr:nvSpPr>
        <xdr:cNvPr id="42" name="TextBox 41">
          <a:extLst>
            <a:ext uri="{FF2B5EF4-FFF2-40B4-BE49-F238E27FC236}">
              <a16:creationId xmlns:a16="http://schemas.microsoft.com/office/drawing/2014/main" id="{90F3034F-80BE-36D1-648A-D64ECE440B56}"/>
            </a:ext>
          </a:extLst>
        </xdr:cNvPr>
        <xdr:cNvSpPr txBox="1"/>
      </xdr:nvSpPr>
      <xdr:spPr>
        <a:xfrm>
          <a:off x="2357718" y="842682"/>
          <a:ext cx="11017623" cy="546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1">
              <a:solidFill>
                <a:schemeClr val="dk1"/>
              </a:solidFill>
              <a:effectLst/>
              <a:latin typeface="+mn-lt"/>
              <a:ea typeface="+mn-ea"/>
              <a:cs typeface="+mn-cs"/>
            </a:rPr>
            <a:t>Marico Limited is one of India's leading consumer goods companies operating in global beauty and wellness categories. It is present in over 25 countries across emerging markets of Asia and Africa. It nurtures leading brands across categories of hair care, skin care, edible oils, healthy foods, male grooming and fabric care</a:t>
          </a:r>
          <a:endParaRPr lang="en-IN" sz="1200" i="1"/>
        </a:p>
      </xdr:txBody>
    </xdr:sp>
    <xdr:clientData/>
  </xdr:twoCellAnchor>
  <xdr:twoCellAnchor>
    <xdr:from>
      <xdr:col>1</xdr:col>
      <xdr:colOff>257449</xdr:colOff>
      <xdr:row>14</xdr:row>
      <xdr:rowOff>133684</xdr:rowOff>
    </xdr:from>
    <xdr:to>
      <xdr:col>9</xdr:col>
      <xdr:colOff>298418</xdr:colOff>
      <xdr:row>26</xdr:row>
      <xdr:rowOff>153953</xdr:rowOff>
    </xdr:to>
    <xdr:graphicFrame macro="">
      <xdr:nvGraphicFramePr>
        <xdr:cNvPr id="43" name="Chart 42">
          <a:extLst>
            <a:ext uri="{FF2B5EF4-FFF2-40B4-BE49-F238E27FC236}">
              <a16:creationId xmlns:a16="http://schemas.microsoft.com/office/drawing/2014/main" id="{58671D89-1007-4587-96FD-3519F10D7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224693</xdr:colOff>
      <xdr:row>27</xdr:row>
      <xdr:rowOff>127001</xdr:rowOff>
    </xdr:from>
    <xdr:to>
      <xdr:col>11</xdr:col>
      <xdr:colOff>97693</xdr:colOff>
      <xdr:row>38</xdr:row>
      <xdr:rowOff>146539</xdr:rowOff>
    </xdr:to>
    <xdr:graphicFrame macro="">
      <xdr:nvGraphicFramePr>
        <xdr:cNvPr id="45" name="Chart 44">
          <a:extLst>
            <a:ext uri="{FF2B5EF4-FFF2-40B4-BE49-F238E27FC236}">
              <a16:creationId xmlns:a16="http://schemas.microsoft.com/office/drawing/2014/main" id="{F19101F6-D4B7-4B9D-9F12-105FC92D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93579</xdr:colOff>
      <xdr:row>27</xdr:row>
      <xdr:rowOff>173790</xdr:rowOff>
    </xdr:from>
    <xdr:to>
      <xdr:col>26</xdr:col>
      <xdr:colOff>66841</xdr:colOff>
      <xdr:row>38</xdr:row>
      <xdr:rowOff>173789</xdr:rowOff>
    </xdr:to>
    <xdr:graphicFrame macro="">
      <xdr:nvGraphicFramePr>
        <xdr:cNvPr id="47" name="Chart 46">
          <a:extLst>
            <a:ext uri="{FF2B5EF4-FFF2-40B4-BE49-F238E27FC236}">
              <a16:creationId xmlns:a16="http://schemas.microsoft.com/office/drawing/2014/main" id="{3F787790-CB6A-4E4F-B474-6B8E0FA99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0</xdr:colOff>
      <xdr:row>27</xdr:row>
      <xdr:rowOff>160422</xdr:rowOff>
    </xdr:from>
    <xdr:to>
      <xdr:col>38</xdr:col>
      <xdr:colOff>294106</xdr:colOff>
      <xdr:row>38</xdr:row>
      <xdr:rowOff>160421</xdr:rowOff>
    </xdr:to>
    <xdr:graphicFrame macro="">
      <xdr:nvGraphicFramePr>
        <xdr:cNvPr id="48" name="Chart 47">
          <a:extLst>
            <a:ext uri="{FF2B5EF4-FFF2-40B4-BE49-F238E27FC236}">
              <a16:creationId xmlns:a16="http://schemas.microsoft.com/office/drawing/2014/main" id="{A74D8D5C-7E20-45BA-A713-A0660F8AC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8964</xdr:colOff>
      <xdr:row>0</xdr:row>
      <xdr:rowOff>110296</xdr:rowOff>
    </xdr:from>
    <xdr:to>
      <xdr:col>30</xdr:col>
      <xdr:colOff>7398</xdr:colOff>
      <xdr:row>6</xdr:row>
      <xdr:rowOff>54429</xdr:rowOff>
    </xdr:to>
    <xdr:sp macro="" textlink="">
      <xdr:nvSpPr>
        <xdr:cNvPr id="2" name="Rectangle 1">
          <a:extLst>
            <a:ext uri="{FF2B5EF4-FFF2-40B4-BE49-F238E27FC236}">
              <a16:creationId xmlns:a16="http://schemas.microsoft.com/office/drawing/2014/main" id="{D8BACC5C-05D5-4A44-814F-DABB5F11590A}"/>
            </a:ext>
          </a:extLst>
        </xdr:cNvPr>
        <xdr:cNvSpPr/>
      </xdr:nvSpPr>
      <xdr:spPr>
        <a:xfrm>
          <a:off x="362355" y="110296"/>
          <a:ext cx="13084956" cy="1070568"/>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MARICO LIMITED</a:t>
          </a:r>
        </a:p>
        <a:p>
          <a:pPr algn="l"/>
          <a:r>
            <a:rPr lang="en-IN" sz="1600" b="1" baseline="0">
              <a:solidFill>
                <a:srgbClr val="663300"/>
              </a:solidFill>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MARICO</a:t>
          </a:r>
          <a:r>
            <a:rPr lang="en-IN" sz="1600" b="1" baseline="0">
              <a:solidFill>
                <a:srgbClr val="663300"/>
              </a:solidFill>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I BSE Code - 561342 </a:t>
          </a:r>
          <a:r>
            <a:rPr lang="en-IN" sz="1600" b="1" baseline="0">
              <a:solidFill>
                <a:srgbClr val="663300"/>
              </a:solidFill>
              <a:latin typeface="Calibri" panose="020F0502020204030204" pitchFamily="34" charset="0"/>
              <a:ea typeface="Calibri" panose="020F0502020204030204" pitchFamily="34" charset="0"/>
              <a:cs typeface="Calibri" panose="020F0502020204030204" pitchFamily="34" charset="0"/>
            </a:rPr>
            <a:t>)</a:t>
          </a:r>
        </a:p>
        <a:p>
          <a:pPr algn="l"/>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INR 791</a:t>
          </a:r>
        </a:p>
      </xdr:txBody>
    </xdr:sp>
    <xdr:clientData/>
  </xdr:twoCellAnchor>
  <xdr:twoCellAnchor>
    <xdr:from>
      <xdr:col>0</xdr:col>
      <xdr:colOff>344715</xdr:colOff>
      <xdr:row>6</xdr:row>
      <xdr:rowOff>172358</xdr:rowOff>
    </xdr:from>
    <xdr:to>
      <xdr:col>29</xdr:col>
      <xdr:colOff>343149</xdr:colOff>
      <xdr:row>8</xdr:row>
      <xdr:rowOff>20492</xdr:rowOff>
    </xdr:to>
    <xdr:sp macro="" textlink="">
      <xdr:nvSpPr>
        <xdr:cNvPr id="4" name="Rectangle 3">
          <a:extLst>
            <a:ext uri="{FF2B5EF4-FFF2-40B4-BE49-F238E27FC236}">
              <a16:creationId xmlns:a16="http://schemas.microsoft.com/office/drawing/2014/main" id="{465FE19F-88F4-4E92-8BFF-A38B86309337}"/>
            </a:ext>
          </a:extLst>
        </xdr:cNvPr>
        <xdr:cNvSpPr/>
      </xdr:nvSpPr>
      <xdr:spPr>
        <a:xfrm>
          <a:off x="344715" y="1298793"/>
          <a:ext cx="13084956" cy="223612"/>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117928</xdr:colOff>
      <xdr:row>35</xdr:row>
      <xdr:rowOff>90714</xdr:rowOff>
    </xdr:from>
    <xdr:to>
      <xdr:col>3</xdr:col>
      <xdr:colOff>199571</xdr:colOff>
      <xdr:row>35</xdr:row>
      <xdr:rowOff>172357</xdr:rowOff>
    </xdr:to>
    <xdr:sp macro="" textlink="">
      <xdr:nvSpPr>
        <xdr:cNvPr id="5" name="Oval 4">
          <a:extLst>
            <a:ext uri="{FF2B5EF4-FFF2-40B4-BE49-F238E27FC236}">
              <a16:creationId xmlns:a16="http://schemas.microsoft.com/office/drawing/2014/main" id="{9DCE5A14-88A5-410C-BA02-ABDD3492985E}"/>
            </a:ext>
          </a:extLst>
        </xdr:cNvPr>
        <xdr:cNvSpPr/>
      </xdr:nvSpPr>
      <xdr:spPr>
        <a:xfrm>
          <a:off x="1169488" y="7032534"/>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130628</xdr:colOff>
      <xdr:row>41</xdr:row>
      <xdr:rowOff>94343</xdr:rowOff>
    </xdr:from>
    <xdr:to>
      <xdr:col>3</xdr:col>
      <xdr:colOff>212271</xdr:colOff>
      <xdr:row>41</xdr:row>
      <xdr:rowOff>175986</xdr:rowOff>
    </xdr:to>
    <xdr:sp macro="" textlink="">
      <xdr:nvSpPr>
        <xdr:cNvPr id="8" name="Oval 7">
          <a:extLst>
            <a:ext uri="{FF2B5EF4-FFF2-40B4-BE49-F238E27FC236}">
              <a16:creationId xmlns:a16="http://schemas.microsoft.com/office/drawing/2014/main" id="{4CD7ED7F-1EF0-4E49-9D86-9C6994BF7ABF}"/>
            </a:ext>
          </a:extLst>
        </xdr:cNvPr>
        <xdr:cNvSpPr/>
      </xdr:nvSpPr>
      <xdr:spPr>
        <a:xfrm>
          <a:off x="1182188" y="8224883"/>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137885</xdr:colOff>
      <xdr:row>43</xdr:row>
      <xdr:rowOff>47172</xdr:rowOff>
    </xdr:from>
    <xdr:to>
      <xdr:col>3</xdr:col>
      <xdr:colOff>219528</xdr:colOff>
      <xdr:row>43</xdr:row>
      <xdr:rowOff>128815</xdr:rowOff>
    </xdr:to>
    <xdr:sp macro="" textlink="">
      <xdr:nvSpPr>
        <xdr:cNvPr id="9" name="Oval 8">
          <a:extLst>
            <a:ext uri="{FF2B5EF4-FFF2-40B4-BE49-F238E27FC236}">
              <a16:creationId xmlns:a16="http://schemas.microsoft.com/office/drawing/2014/main" id="{A637B5AF-38B2-4701-8E80-31BF8497EA35}"/>
            </a:ext>
          </a:extLst>
        </xdr:cNvPr>
        <xdr:cNvSpPr/>
      </xdr:nvSpPr>
      <xdr:spPr>
        <a:xfrm>
          <a:off x="1189445" y="8573952"/>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127000</xdr:colOff>
      <xdr:row>45</xdr:row>
      <xdr:rowOff>90714</xdr:rowOff>
    </xdr:from>
    <xdr:to>
      <xdr:col>3</xdr:col>
      <xdr:colOff>208643</xdr:colOff>
      <xdr:row>45</xdr:row>
      <xdr:rowOff>172357</xdr:rowOff>
    </xdr:to>
    <xdr:sp macro="" textlink="">
      <xdr:nvSpPr>
        <xdr:cNvPr id="10" name="Oval 9">
          <a:extLst>
            <a:ext uri="{FF2B5EF4-FFF2-40B4-BE49-F238E27FC236}">
              <a16:creationId xmlns:a16="http://schemas.microsoft.com/office/drawing/2014/main" id="{A6F5875D-9A15-419B-B2F2-2BB632FCDF7D}"/>
            </a:ext>
          </a:extLst>
        </xdr:cNvPr>
        <xdr:cNvSpPr/>
      </xdr:nvSpPr>
      <xdr:spPr>
        <a:xfrm>
          <a:off x="1178560" y="9013734"/>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26</xdr:col>
      <xdr:colOff>68581</xdr:colOff>
      <xdr:row>0</xdr:row>
      <xdr:rowOff>83820</xdr:rowOff>
    </xdr:from>
    <xdr:to>
      <xdr:col>29</xdr:col>
      <xdr:colOff>55775</xdr:colOff>
      <xdr:row>6</xdr:row>
      <xdr:rowOff>68580</xdr:rowOff>
    </xdr:to>
    <xdr:pic>
      <xdr:nvPicPr>
        <xdr:cNvPr id="13" name="Picture 12">
          <a:extLst>
            <a:ext uri="{FF2B5EF4-FFF2-40B4-BE49-F238E27FC236}">
              <a16:creationId xmlns:a16="http://schemas.microsoft.com/office/drawing/2014/main" id="{2E0701C8-0BC2-F97D-0C69-C8417A1108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33861" y="83820"/>
          <a:ext cx="1191154" cy="1082040"/>
        </a:xfrm>
        <a:prstGeom prst="rect">
          <a:avLst/>
        </a:prstGeom>
      </xdr:spPr>
    </xdr:pic>
    <xdr:clientData/>
  </xdr:twoCellAnchor>
  <xdr:twoCellAnchor>
    <xdr:from>
      <xdr:col>3</xdr:col>
      <xdr:colOff>132522</xdr:colOff>
      <xdr:row>38</xdr:row>
      <xdr:rowOff>66261</xdr:rowOff>
    </xdr:from>
    <xdr:to>
      <xdr:col>3</xdr:col>
      <xdr:colOff>214165</xdr:colOff>
      <xdr:row>38</xdr:row>
      <xdr:rowOff>147904</xdr:rowOff>
    </xdr:to>
    <xdr:sp macro="" textlink="">
      <xdr:nvSpPr>
        <xdr:cNvPr id="14" name="Oval 13">
          <a:extLst>
            <a:ext uri="{FF2B5EF4-FFF2-40B4-BE49-F238E27FC236}">
              <a16:creationId xmlns:a16="http://schemas.microsoft.com/office/drawing/2014/main" id="{923AD6FD-19F4-4BA0-8D1F-6B76B4D4DBB8}"/>
            </a:ext>
          </a:extLst>
        </xdr:cNvPr>
        <xdr:cNvSpPr/>
      </xdr:nvSpPr>
      <xdr:spPr>
        <a:xfrm>
          <a:off x="1192696" y="7708348"/>
          <a:ext cx="81643" cy="81643"/>
        </a:xfrm>
        <a:prstGeom prst="ellipse">
          <a:avLst/>
        </a:prstGeom>
        <a:solidFill>
          <a:srgbClr val="A85400"/>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8" name="Group 7">
          <a:extLst>
            <a:ext uri="{FF2B5EF4-FFF2-40B4-BE49-F238E27FC236}">
              <a16:creationId xmlns:a16="http://schemas.microsoft.com/office/drawing/2014/main" id="{8415CD00-7956-0171-ED35-CEF715248DF8}"/>
            </a:ext>
          </a:extLst>
        </xdr:cNvPr>
        <xdr:cNvGrpSpPr/>
      </xdr:nvGrpSpPr>
      <xdr:grpSpPr>
        <a:xfrm>
          <a:off x="6133630" y="365103"/>
          <a:ext cx="1681499" cy="1017179"/>
          <a:chOff x="5522452" y="908911"/>
          <a:chExt cx="1491225" cy="1024766"/>
        </a:xfrm>
      </xdr:grpSpPr>
      <xdr:pic>
        <xdr:nvPicPr>
          <xdr:cNvPr id="6" name="Picture 5">
            <a:extLst>
              <a:ext uri="{FF2B5EF4-FFF2-40B4-BE49-F238E27FC236}">
                <a16:creationId xmlns:a16="http://schemas.microsoft.com/office/drawing/2014/main" id="{C85587EB-0E82-AD67-275B-4A02BE19FD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7" name="Rectangle 6">
            <a:extLst>
              <a:ext uri="{FF2B5EF4-FFF2-40B4-BE49-F238E27FC236}">
                <a16:creationId xmlns:a16="http://schemas.microsoft.com/office/drawing/2014/main" id="{22AF4260-63BF-4F35-3D9F-D283B790AAE3}"/>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10" name="Rectangle 9">
          <a:extLst>
            <a:ext uri="{FF2B5EF4-FFF2-40B4-BE49-F238E27FC236}">
              <a16:creationId xmlns:a16="http://schemas.microsoft.com/office/drawing/2014/main" id="{CD23C02D-2EC2-3EE7-E388-34894BEB6F26}"/>
            </a:ext>
          </a:extLst>
        </xdr:cNvPr>
        <xdr:cNvSpPr/>
      </xdr:nvSpPr>
      <xdr:spPr>
        <a:xfrm>
          <a:off x="5202903" y="942258"/>
          <a:ext cx="3326581" cy="42606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INCOME</a:t>
          </a:r>
          <a:r>
            <a:rPr lang="en-IN" sz="2000" b="1" baseline="0">
              <a:solidFill>
                <a:schemeClr val="bg1"/>
              </a:solidFill>
            </a:rPr>
            <a:t> STATEMENT </a:t>
          </a:r>
          <a:r>
            <a:rPr lang="en-IN" sz="1200" b="1" baseline="0">
              <a:solidFill>
                <a:schemeClr val="bg1"/>
              </a:solidFill>
            </a:rPr>
            <a:t>( INR cr ) </a:t>
          </a:r>
          <a:endParaRPr lang="en-IN" sz="20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465C5232-D35E-4A8E-95AF-9338206ABE27}"/>
            </a:ext>
          </a:extLst>
        </xdr:cNvPr>
        <xdr:cNvGrpSpPr/>
      </xdr:nvGrpSpPr>
      <xdr:grpSpPr>
        <a:xfrm>
          <a:off x="6132945" y="367840"/>
          <a:ext cx="1674316" cy="1024021"/>
          <a:chOff x="5522452" y="908911"/>
          <a:chExt cx="1491225" cy="1024766"/>
        </a:xfrm>
      </xdr:grpSpPr>
      <xdr:pic>
        <xdr:nvPicPr>
          <xdr:cNvPr id="3" name="Picture 2">
            <a:extLst>
              <a:ext uri="{FF2B5EF4-FFF2-40B4-BE49-F238E27FC236}">
                <a16:creationId xmlns:a16="http://schemas.microsoft.com/office/drawing/2014/main" id="{EDDB5CB4-BA4A-4760-8757-B37783D1CA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E7F87D71-EE87-421E-8704-8D9CDC53F7E9}"/>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F7435F54-C633-436E-8740-30F4178E4C13}"/>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BALANCE SHEET </a:t>
          </a:r>
          <a:r>
            <a:rPr lang="en-IN" sz="1200" b="1" baseline="0">
              <a:solidFill>
                <a:schemeClr val="bg1"/>
              </a:solidFill>
            </a:rPr>
            <a:t>( INR cr ) </a:t>
          </a:r>
          <a:endParaRPr lang="en-IN" sz="20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B35053EA-2CCD-4E03-A236-956713B8015A}"/>
            </a:ext>
          </a:extLst>
        </xdr:cNvPr>
        <xdr:cNvGrpSpPr/>
      </xdr:nvGrpSpPr>
      <xdr:grpSpPr>
        <a:xfrm>
          <a:off x="6742545" y="363882"/>
          <a:ext cx="1682233" cy="1014124"/>
          <a:chOff x="5522452" y="908911"/>
          <a:chExt cx="1491225" cy="1024766"/>
        </a:xfrm>
      </xdr:grpSpPr>
      <xdr:pic>
        <xdr:nvPicPr>
          <xdr:cNvPr id="3" name="Picture 2">
            <a:extLst>
              <a:ext uri="{FF2B5EF4-FFF2-40B4-BE49-F238E27FC236}">
                <a16:creationId xmlns:a16="http://schemas.microsoft.com/office/drawing/2014/main" id="{236A0794-2DBF-9668-C022-92AAFADC9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F6B99E65-956F-D3C3-BCE8-2A38AA0015C8}"/>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9940D2DF-2797-40AC-BB5E-FECC4E96C5BB}"/>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CASHFLOW STATEMENT </a:t>
          </a:r>
          <a:r>
            <a:rPr lang="en-IN" sz="1200" b="1" baseline="0">
              <a:solidFill>
                <a:schemeClr val="bg1"/>
              </a:solidFill>
            </a:rPr>
            <a:t>( INR cr ) </a:t>
          </a:r>
          <a:endParaRPr lang="en-IN" sz="2000" b="1">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1B9F7F54-52BC-4101-B641-BF990431D3E4}"/>
            </a:ext>
          </a:extLst>
        </xdr:cNvPr>
        <xdr:cNvGrpSpPr/>
      </xdr:nvGrpSpPr>
      <xdr:grpSpPr>
        <a:xfrm>
          <a:off x="6143925" y="381433"/>
          <a:ext cx="1674576" cy="1058004"/>
          <a:chOff x="5522452" y="908911"/>
          <a:chExt cx="1491225" cy="1024766"/>
        </a:xfrm>
      </xdr:grpSpPr>
      <xdr:pic>
        <xdr:nvPicPr>
          <xdr:cNvPr id="3" name="Picture 2">
            <a:extLst>
              <a:ext uri="{FF2B5EF4-FFF2-40B4-BE49-F238E27FC236}">
                <a16:creationId xmlns:a16="http://schemas.microsoft.com/office/drawing/2014/main" id="{88425B9E-D0D0-4650-D8CD-4FFDBA8D41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818CA9E0-6840-A3AD-EF90-DA170B50D2CE}"/>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B0E660FC-64E0-4A1E-BFAA-762D91730F4A}"/>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RATIO ANALYSIS </a:t>
          </a:r>
          <a:endParaRPr lang="en-IN" sz="20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2A03FA36-125F-4097-870E-B3FEE40E2C3A}"/>
            </a:ext>
          </a:extLst>
        </xdr:cNvPr>
        <xdr:cNvGrpSpPr/>
      </xdr:nvGrpSpPr>
      <xdr:grpSpPr>
        <a:xfrm>
          <a:off x="6132286" y="370479"/>
          <a:ext cx="1676459" cy="1030618"/>
          <a:chOff x="5522452" y="908911"/>
          <a:chExt cx="1491225" cy="1024766"/>
        </a:xfrm>
      </xdr:grpSpPr>
      <xdr:pic>
        <xdr:nvPicPr>
          <xdr:cNvPr id="3" name="Picture 2">
            <a:extLst>
              <a:ext uri="{FF2B5EF4-FFF2-40B4-BE49-F238E27FC236}">
                <a16:creationId xmlns:a16="http://schemas.microsoft.com/office/drawing/2014/main" id="{067E950F-72ED-94D4-74B0-3CC7820A6F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DD8142FF-519F-462E-8B38-F947ACF1EA25}"/>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4187806B-266C-4E4C-AC37-96903934EE4D}"/>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INCOME STATEMENT</a:t>
          </a:r>
          <a:r>
            <a:rPr lang="en-IN" sz="1200" b="1" baseline="0">
              <a:solidFill>
                <a:schemeClr val="bg1"/>
              </a:solidFill>
            </a:rPr>
            <a:t> </a:t>
          </a:r>
          <a:endParaRPr lang="en-IN" sz="2000" b="1">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40F192E4-A6B2-4D38-9242-50B3E7FCD729}"/>
            </a:ext>
          </a:extLst>
        </xdr:cNvPr>
        <xdr:cNvGrpSpPr/>
      </xdr:nvGrpSpPr>
      <xdr:grpSpPr>
        <a:xfrm>
          <a:off x="6126602" y="374851"/>
          <a:ext cx="1671979" cy="1041547"/>
          <a:chOff x="5522452" y="908911"/>
          <a:chExt cx="1491225" cy="1024766"/>
        </a:xfrm>
      </xdr:grpSpPr>
      <xdr:pic>
        <xdr:nvPicPr>
          <xdr:cNvPr id="3" name="Picture 2">
            <a:extLst>
              <a:ext uri="{FF2B5EF4-FFF2-40B4-BE49-F238E27FC236}">
                <a16:creationId xmlns:a16="http://schemas.microsoft.com/office/drawing/2014/main" id="{CC8C843A-9510-0F2E-F3DC-50CC1C28A7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67ABB621-96EB-00AF-3D15-ED63AF4F3C93}"/>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4A51E356-4341-4CFB-A35D-FCD5403CB3B1}"/>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REVENUE SCHEDULE </a:t>
          </a:r>
          <a:r>
            <a:rPr lang="en-IN" sz="1200" b="1" baseline="0">
              <a:solidFill>
                <a:schemeClr val="bg1"/>
              </a:solidFill>
            </a:rPr>
            <a:t> </a:t>
          </a:r>
          <a:endParaRPr lang="en-IN" sz="2000" b="1">
            <a:solidFill>
              <a:schemeClr val="bg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9D3313FB-13F1-42B3-8907-6ADEBF6F1F3E}"/>
            </a:ext>
          </a:extLst>
        </xdr:cNvPr>
        <xdr:cNvGrpSpPr/>
      </xdr:nvGrpSpPr>
      <xdr:grpSpPr>
        <a:xfrm>
          <a:off x="6129130" y="383100"/>
          <a:ext cx="1672910" cy="1062171"/>
          <a:chOff x="5522452" y="908911"/>
          <a:chExt cx="1491225" cy="1024766"/>
        </a:xfrm>
      </xdr:grpSpPr>
      <xdr:pic>
        <xdr:nvPicPr>
          <xdr:cNvPr id="3" name="Picture 2">
            <a:extLst>
              <a:ext uri="{FF2B5EF4-FFF2-40B4-BE49-F238E27FC236}">
                <a16:creationId xmlns:a16="http://schemas.microsoft.com/office/drawing/2014/main" id="{3B499358-1F46-70C9-9353-CC582734C9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6E1FC45B-81FB-50EA-D3F0-CC8FB30DF6A7}"/>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DB0B9F1D-06D7-46D7-8405-BD5AD3EF09F4}"/>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COST SCHEDULE </a:t>
          </a:r>
          <a:endParaRPr lang="en-IN" sz="2000" b="1">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3B809014-17D5-4D73-BEEE-B04FE192853C}"/>
            </a:ext>
          </a:extLst>
        </xdr:cNvPr>
        <xdr:cNvGrpSpPr/>
      </xdr:nvGrpSpPr>
      <xdr:grpSpPr>
        <a:xfrm>
          <a:off x="6133101" y="367218"/>
          <a:ext cx="1671669" cy="1022463"/>
          <a:chOff x="5522452" y="908911"/>
          <a:chExt cx="1491225" cy="1024766"/>
        </a:xfrm>
      </xdr:grpSpPr>
      <xdr:pic>
        <xdr:nvPicPr>
          <xdr:cNvPr id="3" name="Picture 2">
            <a:extLst>
              <a:ext uri="{FF2B5EF4-FFF2-40B4-BE49-F238E27FC236}">
                <a16:creationId xmlns:a16="http://schemas.microsoft.com/office/drawing/2014/main" id="{3F8CCC9A-1AC5-05D4-B0D9-5212194ED4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C103D9AC-8ECD-E75D-B5B4-75418EFDB3FB}"/>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12E8827C-9F5D-472B-8A88-53C06C267D03}"/>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ASSET SCHEDULE</a:t>
          </a:r>
          <a:r>
            <a:rPr lang="en-IN" sz="1200" b="1" baseline="0">
              <a:solidFill>
                <a:schemeClr val="bg1"/>
              </a:solidFill>
            </a:rPr>
            <a:t> </a:t>
          </a:r>
          <a:endParaRPr lang="en-IN" sz="2000" b="1">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477C0A77-54A7-4ED5-9E18-FC845508F0E5}"/>
            </a:ext>
          </a:extLst>
        </xdr:cNvPr>
        <xdr:cNvGrpSpPr/>
      </xdr:nvGrpSpPr>
      <xdr:grpSpPr>
        <a:xfrm>
          <a:off x="6143256" y="379762"/>
          <a:ext cx="1676248" cy="1053823"/>
          <a:chOff x="5522452" y="908911"/>
          <a:chExt cx="1491225" cy="1024766"/>
        </a:xfrm>
      </xdr:grpSpPr>
      <xdr:pic>
        <xdr:nvPicPr>
          <xdr:cNvPr id="3" name="Picture 2">
            <a:extLst>
              <a:ext uri="{FF2B5EF4-FFF2-40B4-BE49-F238E27FC236}">
                <a16:creationId xmlns:a16="http://schemas.microsoft.com/office/drawing/2014/main" id="{6B145BFE-93BD-C5BB-0C78-CD8B68181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B448246C-39D2-48F0-8507-497A05120671}"/>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5EE78038-DD6B-43F8-B4D9-4EA8A7236D4B}"/>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DEBT SCHEDULE </a:t>
          </a:r>
          <a:r>
            <a:rPr lang="en-IN" sz="1200" b="1" baseline="0">
              <a:solidFill>
                <a:schemeClr val="bg1"/>
              </a:solidFill>
            </a:rPr>
            <a:t> </a:t>
          </a:r>
          <a:endParaRPr lang="en-IN" sz="2000" b="1">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CAEDA586-4335-44B5-801E-1EF61D395B41}"/>
            </a:ext>
          </a:extLst>
        </xdr:cNvPr>
        <xdr:cNvGrpSpPr/>
      </xdr:nvGrpSpPr>
      <xdr:grpSpPr>
        <a:xfrm>
          <a:off x="6143256" y="379762"/>
          <a:ext cx="1676248" cy="1053823"/>
          <a:chOff x="5522452" y="908911"/>
          <a:chExt cx="1491225" cy="1024766"/>
        </a:xfrm>
      </xdr:grpSpPr>
      <xdr:pic>
        <xdr:nvPicPr>
          <xdr:cNvPr id="3" name="Picture 2">
            <a:extLst>
              <a:ext uri="{FF2B5EF4-FFF2-40B4-BE49-F238E27FC236}">
                <a16:creationId xmlns:a16="http://schemas.microsoft.com/office/drawing/2014/main" id="{C003E941-4AA3-2E2E-05BC-3F2646CE7C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60074545-32FB-9EAB-E7B5-4836848B843A}"/>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3</xdr:col>
      <xdr:colOff>911794</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3C23DCB9-9A90-4539-BE6F-382C900EC74F}"/>
            </a:ext>
          </a:extLst>
        </xdr:cNvPr>
        <xdr:cNvSpPr/>
      </xdr:nvSpPr>
      <xdr:spPr>
        <a:xfrm>
          <a:off x="5607538" y="952763"/>
          <a:ext cx="3393811" cy="430268"/>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WORKING CAPITAL SCHEDULE</a:t>
          </a:r>
          <a:r>
            <a:rPr lang="en-IN" sz="1200" b="1" baseline="0">
              <a:solidFill>
                <a:schemeClr val="bg1"/>
              </a:solidFill>
            </a:rPr>
            <a:t> </a:t>
          </a:r>
          <a:endParaRPr lang="en-IN" sz="2000" b="1">
            <a:solidFill>
              <a:schemeClr val="bg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508000</xdr:colOff>
      <xdr:row>2</xdr:row>
      <xdr:rowOff>7622</xdr:rowOff>
    </xdr:from>
    <xdr:to>
      <xdr:col>6</xdr:col>
      <xdr:colOff>270388</xdr:colOff>
      <xdr:row>7</xdr:row>
      <xdr:rowOff>131097</xdr:rowOff>
    </xdr:to>
    <xdr:grpSp>
      <xdr:nvGrpSpPr>
        <xdr:cNvPr id="2" name="Group 1">
          <a:extLst>
            <a:ext uri="{FF2B5EF4-FFF2-40B4-BE49-F238E27FC236}">
              <a16:creationId xmlns:a16="http://schemas.microsoft.com/office/drawing/2014/main" id="{3840202C-DE5A-42C3-9385-E153CB646E37}"/>
            </a:ext>
          </a:extLst>
        </xdr:cNvPr>
        <xdr:cNvGrpSpPr/>
      </xdr:nvGrpSpPr>
      <xdr:grpSpPr>
        <a:xfrm>
          <a:off x="6126703" y="376062"/>
          <a:ext cx="1671575" cy="1044573"/>
          <a:chOff x="5522452" y="908911"/>
          <a:chExt cx="1491225" cy="1024766"/>
        </a:xfrm>
      </xdr:grpSpPr>
      <xdr:pic>
        <xdr:nvPicPr>
          <xdr:cNvPr id="3" name="Picture 2">
            <a:extLst>
              <a:ext uri="{FF2B5EF4-FFF2-40B4-BE49-F238E27FC236}">
                <a16:creationId xmlns:a16="http://schemas.microsoft.com/office/drawing/2014/main" id="{F0B97159-8FEC-5DB1-F89D-93B3AEB89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711" y="908911"/>
            <a:ext cx="1017064" cy="873432"/>
          </a:xfrm>
          <a:prstGeom prst="rect">
            <a:avLst/>
          </a:prstGeom>
        </xdr:spPr>
      </xdr:pic>
      <xdr:sp macro="" textlink="">
        <xdr:nvSpPr>
          <xdr:cNvPr id="4" name="Rectangle 3">
            <a:extLst>
              <a:ext uri="{FF2B5EF4-FFF2-40B4-BE49-F238E27FC236}">
                <a16:creationId xmlns:a16="http://schemas.microsoft.com/office/drawing/2014/main" id="{3E8E7E5E-7C52-CB6D-8EF3-3B97895431F0}"/>
              </a:ext>
            </a:extLst>
          </xdr:cNvPr>
          <xdr:cNvSpPr/>
        </xdr:nvSpPr>
        <xdr:spPr>
          <a:xfrm>
            <a:off x="5522452" y="1540387"/>
            <a:ext cx="1491225" cy="3932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grpSp>
    <xdr:clientData/>
  </xdr:twoCellAnchor>
  <xdr:twoCellAnchor>
    <xdr:from>
      <xdr:col>4</xdr:col>
      <xdr:colOff>40968</xdr:colOff>
      <xdr:row>5</xdr:row>
      <xdr:rowOff>40968</xdr:rowOff>
    </xdr:from>
    <xdr:to>
      <xdr:col>7</xdr:col>
      <xdr:colOff>606323</xdr:colOff>
      <xdr:row>7</xdr:row>
      <xdr:rowOff>106518</xdr:rowOff>
    </xdr:to>
    <xdr:sp macro="" textlink="">
      <xdr:nvSpPr>
        <xdr:cNvPr id="5" name="Rectangle 4">
          <a:extLst>
            <a:ext uri="{FF2B5EF4-FFF2-40B4-BE49-F238E27FC236}">
              <a16:creationId xmlns:a16="http://schemas.microsoft.com/office/drawing/2014/main" id="{4A7374B0-8B0E-4F41-8B1F-C0D7874B08BC}"/>
            </a:ext>
          </a:extLst>
        </xdr:cNvPr>
        <xdr:cNvSpPr/>
      </xdr:nvSpPr>
      <xdr:spPr>
        <a:xfrm>
          <a:off x="5664528" y="955368"/>
          <a:ext cx="3331415" cy="43131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DISCOUNTED CASH FLOW</a:t>
          </a:r>
          <a:r>
            <a:rPr lang="en-IN" sz="1200" b="1" baseline="0">
              <a:solidFill>
                <a:schemeClr val="bg1"/>
              </a:solidFill>
            </a:rPr>
            <a:t> </a:t>
          </a:r>
          <a:endParaRPr lang="en-IN" sz="2000" b="1">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3A34-6C1E-4F13-956F-5C28F76EE542}">
  <dimension ref="E6:AM18"/>
  <sheetViews>
    <sheetView showGridLines="0" topLeftCell="A7" zoomScale="85" zoomScaleNormal="85" workbookViewId="0">
      <selection activeCell="N18" sqref="N18"/>
    </sheetView>
  </sheetViews>
  <sheetFormatPr defaultColWidth="5.109375" defaultRowHeight="14.4" x14ac:dyDescent="0.3"/>
  <cols>
    <col min="18" max="18" width="7.109375" customWidth="1"/>
    <col min="20" max="20" width="4.33203125" customWidth="1"/>
    <col min="25" max="25" width="4" customWidth="1"/>
    <col min="26" max="26" width="1.21875" customWidth="1"/>
    <col min="35" max="35" width="5.77734375" customWidth="1"/>
    <col min="38" max="38" width="5.21875" bestFit="1" customWidth="1"/>
    <col min="46" max="46" width="13.5546875" bestFit="1" customWidth="1"/>
  </cols>
  <sheetData>
    <row r="6" spans="8:39" x14ac:dyDescent="0.3">
      <c r="H6" s="98"/>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100"/>
    </row>
    <row r="7" spans="8:39" x14ac:dyDescent="0.3">
      <c r="H7" s="98"/>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row>
    <row r="8" spans="8:39" x14ac:dyDescent="0.3">
      <c r="H8" s="98"/>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100"/>
    </row>
    <row r="10" spans="8:39" x14ac:dyDescent="0.3">
      <c r="J10" s="129" t="s">
        <v>308</v>
      </c>
      <c r="K10" s="130"/>
      <c r="L10" s="130"/>
      <c r="M10" s="130"/>
      <c r="N10" s="130"/>
      <c r="O10" s="130"/>
      <c r="P10" s="130"/>
      <c r="Q10" s="130"/>
      <c r="R10" s="130"/>
      <c r="S10" s="130"/>
      <c r="T10" s="131"/>
      <c r="U10" s="132" t="s">
        <v>306</v>
      </c>
      <c r="V10" s="130"/>
      <c r="W10" s="130"/>
      <c r="X10" s="131"/>
      <c r="Y10" s="132" t="s">
        <v>309</v>
      </c>
      <c r="Z10" s="130"/>
      <c r="AA10" s="130"/>
      <c r="AB10" s="130"/>
      <c r="AC10" s="131"/>
      <c r="AD10" s="132" t="s">
        <v>310</v>
      </c>
      <c r="AE10" s="130"/>
      <c r="AF10" s="130"/>
      <c r="AG10" s="130"/>
      <c r="AH10" s="131"/>
      <c r="AI10" s="132" t="s">
        <v>307</v>
      </c>
      <c r="AJ10" s="130"/>
      <c r="AK10" s="133"/>
    </row>
    <row r="11" spans="8:39" x14ac:dyDescent="0.3">
      <c r="J11" s="129"/>
      <c r="K11" s="130"/>
      <c r="L11" s="130"/>
      <c r="M11" s="130"/>
      <c r="N11" s="130"/>
      <c r="O11" s="130"/>
      <c r="P11" s="130"/>
      <c r="Q11" s="130"/>
      <c r="R11" s="130"/>
      <c r="S11" s="130"/>
      <c r="T11" s="131"/>
      <c r="U11" s="132"/>
      <c r="V11" s="130"/>
      <c r="W11" s="130"/>
      <c r="X11" s="131"/>
      <c r="Y11" s="132"/>
      <c r="Z11" s="130"/>
      <c r="AA11" s="130"/>
      <c r="AB11" s="130"/>
      <c r="AC11" s="131"/>
      <c r="AD11" s="132"/>
      <c r="AE11" s="130"/>
      <c r="AF11" s="130"/>
      <c r="AG11" s="130"/>
      <c r="AH11" s="131"/>
      <c r="AI11" s="132"/>
      <c r="AJ11" s="130"/>
      <c r="AK11" s="133"/>
    </row>
    <row r="17" spans="5:11" x14ac:dyDescent="0.3">
      <c r="K17" s="101"/>
    </row>
    <row r="18" spans="5:11" x14ac:dyDescent="0.3">
      <c r="E18" s="67"/>
      <c r="F18" s="67"/>
      <c r="G18" s="67"/>
      <c r="H18" s="67"/>
      <c r="I18" s="67"/>
      <c r="J18" s="67"/>
    </row>
  </sheetData>
  <mergeCells count="5">
    <mergeCell ref="J10:T11"/>
    <mergeCell ref="U10:X11"/>
    <mergeCell ref="Y10:AC11"/>
    <mergeCell ref="AD10:AH11"/>
    <mergeCell ref="AI10:AK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F7D2E-0C22-4558-94BF-0A806A97F7D6}">
  <dimension ref="B10:AD49"/>
  <sheetViews>
    <sheetView showGridLines="0" topLeftCell="A21" zoomScale="69" workbookViewId="0">
      <selection activeCell="J48" sqref="J48"/>
    </sheetView>
  </sheetViews>
  <sheetFormatPr defaultColWidth="5.109375" defaultRowHeight="14.4" x14ac:dyDescent="0.3"/>
  <cols>
    <col min="10" max="10" width="8.21875" bestFit="1" customWidth="1"/>
    <col min="12" max="12" width="10.109375" bestFit="1" customWidth="1"/>
    <col min="13" max="13" width="6.6640625" customWidth="1"/>
    <col min="14" max="14" width="10.109375" bestFit="1" customWidth="1"/>
    <col min="15" max="15" width="8.33203125" bestFit="1" customWidth="1"/>
    <col min="16" max="16" width="9.5546875" bestFit="1" customWidth="1"/>
    <col min="18" max="18" width="18" bestFit="1" customWidth="1"/>
    <col min="19" max="19" width="6.21875" customWidth="1"/>
    <col min="23" max="23" width="7.77734375" bestFit="1" customWidth="1"/>
    <col min="26" max="26" width="5.77734375" customWidth="1"/>
    <col min="28" max="28" width="7.21875" bestFit="1" customWidth="1"/>
    <col min="29" max="29" width="5.21875" bestFit="1" customWidth="1"/>
    <col min="37" max="37" width="13.5546875" bestFit="1" customWidth="1"/>
  </cols>
  <sheetData>
    <row r="10" spans="2:30" ht="21.6" thickBot="1" x14ac:dyDescent="0.45">
      <c r="B10" s="102" t="s">
        <v>311</v>
      </c>
      <c r="C10" s="102"/>
      <c r="D10" s="102"/>
      <c r="E10" s="103"/>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row>
    <row r="11" spans="2:30" ht="15" thickTop="1" x14ac:dyDescent="0.3"/>
    <row r="12" spans="2:30" ht="18" x14ac:dyDescent="0.35">
      <c r="D12" s="105"/>
      <c r="E12" s="118" t="s">
        <v>312</v>
      </c>
      <c r="F12" s="118"/>
      <c r="G12" s="118"/>
      <c r="H12" s="118"/>
      <c r="I12" s="118"/>
      <c r="J12" s="118"/>
      <c r="K12" s="118"/>
      <c r="L12" s="118" t="s">
        <v>313</v>
      </c>
      <c r="M12" s="118"/>
      <c r="N12" s="118"/>
      <c r="O12" s="118" t="s">
        <v>314</v>
      </c>
      <c r="P12" s="118"/>
      <c r="Q12" s="118"/>
      <c r="R12" s="118" t="s">
        <v>315</v>
      </c>
      <c r="S12" s="118"/>
      <c r="T12" s="118"/>
      <c r="U12" s="118" t="s">
        <v>161</v>
      </c>
      <c r="V12" s="118"/>
      <c r="W12" s="118"/>
      <c r="X12" s="118"/>
      <c r="Y12" s="118"/>
      <c r="Z12" s="118"/>
      <c r="AA12" s="118" t="s">
        <v>316</v>
      </c>
      <c r="AB12" s="118"/>
      <c r="AC12" s="118"/>
      <c r="AD12" s="118"/>
    </row>
    <row r="14" spans="2:30" ht="15.6" x14ac:dyDescent="0.3">
      <c r="D14" s="106"/>
      <c r="E14" s="107" t="s">
        <v>332</v>
      </c>
      <c r="F14" s="107"/>
      <c r="G14" s="107"/>
      <c r="H14" s="105"/>
      <c r="I14" s="105"/>
      <c r="J14" s="105"/>
      <c r="K14" s="105"/>
      <c r="L14" s="105" t="s">
        <v>317</v>
      </c>
      <c r="M14" s="105"/>
      <c r="N14" s="105"/>
      <c r="O14" s="105">
        <v>511.4</v>
      </c>
      <c r="P14" s="105"/>
      <c r="Q14" s="105"/>
      <c r="R14" s="108">
        <v>55636.15</v>
      </c>
      <c r="S14" s="105"/>
      <c r="T14" s="105"/>
      <c r="V14" s="109"/>
      <c r="W14" s="109">
        <v>19.12</v>
      </c>
      <c r="X14" s="109"/>
      <c r="Y14" s="105"/>
      <c r="Z14" s="105"/>
      <c r="AA14" s="105"/>
      <c r="AB14" s="110">
        <v>46.16</v>
      </c>
      <c r="AC14" s="105"/>
    </row>
    <row r="15" spans="2:30" ht="15.6" x14ac:dyDescent="0.3">
      <c r="D15" s="1"/>
      <c r="E15" s="107" t="s">
        <v>333</v>
      </c>
      <c r="F15" s="107"/>
      <c r="G15" s="107"/>
      <c r="H15" s="1"/>
      <c r="L15" s="105" t="s">
        <v>317</v>
      </c>
      <c r="O15" s="105">
        <v>644.75</v>
      </c>
      <c r="R15" s="108">
        <v>2430.52</v>
      </c>
      <c r="V15" s="88"/>
      <c r="W15" s="111">
        <v>89.65</v>
      </c>
      <c r="X15" s="88"/>
      <c r="AB15" s="110">
        <v>470.6</v>
      </c>
    </row>
    <row r="16" spans="2:30" ht="15.6" x14ac:dyDescent="0.3">
      <c r="D16" s="1"/>
      <c r="E16" s="107" t="s">
        <v>334</v>
      </c>
      <c r="F16" s="107"/>
      <c r="G16" s="107"/>
      <c r="H16" s="1"/>
      <c r="L16" s="105" t="s">
        <v>317</v>
      </c>
      <c r="O16" s="105">
        <v>170.15</v>
      </c>
      <c r="R16" s="108">
        <v>5020.92</v>
      </c>
      <c r="V16" s="88"/>
      <c r="W16" s="111">
        <v>29.47</v>
      </c>
      <c r="X16" s="88"/>
      <c r="AB16" s="110">
        <v>24.09</v>
      </c>
    </row>
    <row r="17" spans="2:30" ht="15.6" x14ac:dyDescent="0.3">
      <c r="D17" s="1"/>
      <c r="E17" s="107" t="s">
        <v>335</v>
      </c>
      <c r="F17" s="107"/>
      <c r="G17" s="107"/>
      <c r="H17" s="1"/>
      <c r="L17" s="105" t="s">
        <v>317</v>
      </c>
      <c r="O17" s="105">
        <v>1307.2</v>
      </c>
      <c r="R17" s="108">
        <v>3658.3</v>
      </c>
      <c r="V17" s="88"/>
      <c r="W17" s="111">
        <v>230.97</v>
      </c>
      <c r="X17" s="88"/>
      <c r="AB17" s="110">
        <v>355.15</v>
      </c>
    </row>
    <row r="18" spans="2:30" ht="15.6" x14ac:dyDescent="0.3">
      <c r="D18" s="1"/>
      <c r="E18" s="107" t="s">
        <v>336</v>
      </c>
      <c r="F18" s="107"/>
      <c r="G18" s="107"/>
      <c r="H18" s="1"/>
      <c r="L18" s="105" t="s">
        <v>317</v>
      </c>
      <c r="O18" s="105">
        <v>250.95</v>
      </c>
      <c r="R18" s="108">
        <v>555.08000000000004</v>
      </c>
      <c r="V18" s="88"/>
      <c r="W18" s="111">
        <v>59.19</v>
      </c>
      <c r="X18" s="88"/>
      <c r="AB18" s="110">
        <v>70.28</v>
      </c>
    </row>
    <row r="19" spans="2:30" ht="14.4" customHeight="1" x14ac:dyDescent="0.3">
      <c r="D19" s="1"/>
      <c r="E19" s="112"/>
      <c r="F19" s="112"/>
      <c r="G19" s="112"/>
      <c r="H19" s="1"/>
      <c r="AB19" s="9"/>
    </row>
    <row r="21" spans="2:30" ht="21.6" thickBot="1" x14ac:dyDescent="0.45">
      <c r="B21" s="102" t="s">
        <v>318</v>
      </c>
      <c r="C21" s="102"/>
      <c r="D21" s="102"/>
      <c r="E21" s="103"/>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row>
    <row r="22" spans="2:30" ht="15" thickTop="1" x14ac:dyDescent="0.3"/>
    <row r="23" spans="2:30" ht="18" x14ac:dyDescent="0.35">
      <c r="E23" s="118" t="s">
        <v>319</v>
      </c>
      <c r="F23" s="118"/>
      <c r="G23" s="118"/>
      <c r="H23" s="118"/>
      <c r="I23" s="118"/>
      <c r="J23" s="118"/>
      <c r="K23" s="118"/>
      <c r="L23" s="118"/>
      <c r="M23" s="118">
        <v>2025</v>
      </c>
      <c r="N23" s="118"/>
      <c r="O23" s="118"/>
      <c r="P23" s="118"/>
      <c r="Q23" s="118"/>
      <c r="R23" s="118"/>
      <c r="S23" s="118" t="s">
        <v>320</v>
      </c>
      <c r="T23" s="118"/>
      <c r="U23" s="118"/>
      <c r="V23" s="118"/>
      <c r="W23" s="118"/>
      <c r="X23" s="118"/>
      <c r="Y23" s="118"/>
      <c r="Z23" s="118"/>
      <c r="AA23" s="118"/>
      <c r="AB23" s="118"/>
      <c r="AC23" s="118"/>
      <c r="AD23" s="118"/>
    </row>
    <row r="24" spans="2:30" x14ac:dyDescent="0.3">
      <c r="E24" s="113" t="s">
        <v>321</v>
      </c>
      <c r="J24" s="113" t="s">
        <v>322</v>
      </c>
      <c r="K24" s="113"/>
      <c r="L24" s="113" t="s">
        <v>323</v>
      </c>
      <c r="M24" s="113"/>
      <c r="N24" s="113" t="s">
        <v>324</v>
      </c>
      <c r="O24" s="113"/>
      <c r="P24" s="113" t="s">
        <v>325</v>
      </c>
      <c r="Q24" s="113"/>
    </row>
    <row r="25" spans="2:30" x14ac:dyDescent="0.3">
      <c r="E25" s="114"/>
      <c r="F25" s="114"/>
      <c r="G25" s="114"/>
      <c r="H25" s="114"/>
      <c r="J25" s="113"/>
      <c r="K25" s="113"/>
      <c r="L25" s="113"/>
      <c r="M25" s="113"/>
      <c r="N25" s="113"/>
      <c r="O25" s="113"/>
      <c r="P25" s="113"/>
      <c r="Q25" s="113"/>
      <c r="R25" s="114"/>
    </row>
    <row r="26" spans="2:30" ht="15.6" x14ac:dyDescent="0.3">
      <c r="E26" s="107" t="s">
        <v>326</v>
      </c>
      <c r="F26" s="107"/>
      <c r="G26" s="107"/>
      <c r="H26" s="114"/>
      <c r="I26" s="1"/>
      <c r="J26" s="115">
        <v>0.59050000000000002</v>
      </c>
      <c r="K26" s="105"/>
      <c r="L26" s="115">
        <v>0.59030000000000005</v>
      </c>
      <c r="M26" s="105"/>
      <c r="N26" s="119">
        <v>0.58940000000000003</v>
      </c>
      <c r="O26" s="105"/>
      <c r="P26" s="115">
        <v>0.58930000000000005</v>
      </c>
      <c r="Q26" s="105"/>
      <c r="R26" s="107" t="s">
        <v>326</v>
      </c>
      <c r="S26" s="105" t="s">
        <v>338</v>
      </c>
      <c r="T26" s="105"/>
    </row>
    <row r="27" spans="2:30" ht="15.6" x14ac:dyDescent="0.3">
      <c r="E27" s="107" t="s">
        <v>327</v>
      </c>
      <c r="F27" s="107"/>
      <c r="G27" s="107"/>
      <c r="H27" s="114"/>
      <c r="I27" s="1"/>
      <c r="J27" s="115">
        <v>0.23619999999999999</v>
      </c>
      <c r="K27" s="105"/>
      <c r="L27" s="115">
        <v>0.23619999999999999</v>
      </c>
      <c r="M27" s="105"/>
      <c r="N27" s="115">
        <v>0.2412</v>
      </c>
      <c r="O27" s="105"/>
      <c r="P27" s="115">
        <v>0.2402</v>
      </c>
      <c r="Q27" s="105"/>
      <c r="R27" s="107" t="s">
        <v>327</v>
      </c>
      <c r="S27" s="105" t="s">
        <v>339</v>
      </c>
      <c r="T27" s="105"/>
    </row>
    <row r="28" spans="2:30" ht="15.6" x14ac:dyDescent="0.3">
      <c r="E28" s="107" t="s">
        <v>328</v>
      </c>
      <c r="F28" s="107"/>
      <c r="G28" s="107"/>
      <c r="H28" s="114"/>
      <c r="I28" s="1"/>
      <c r="J28" s="115">
        <v>0.14119999999999999</v>
      </c>
      <c r="K28" s="105"/>
      <c r="L28" s="115">
        <v>0.14119999999999999</v>
      </c>
      <c r="M28" s="105"/>
      <c r="N28" s="115">
        <v>0.1188</v>
      </c>
      <c r="O28" s="105"/>
      <c r="P28" s="115">
        <v>0.12230000000000001</v>
      </c>
      <c r="Q28" s="105"/>
      <c r="R28" s="107" t="s">
        <v>328</v>
      </c>
      <c r="S28" s="105" t="s">
        <v>340</v>
      </c>
      <c r="T28" s="105"/>
    </row>
    <row r="29" spans="2:30" ht="15.6" x14ac:dyDescent="0.3">
      <c r="E29" s="107" t="s">
        <v>329</v>
      </c>
      <c r="F29" s="107"/>
      <c r="G29" s="107"/>
      <c r="H29" s="114"/>
      <c r="I29" s="1"/>
      <c r="J29" s="115">
        <v>1E-3</v>
      </c>
      <c r="K29" s="105"/>
      <c r="L29" s="115">
        <v>1E-3</v>
      </c>
      <c r="M29" s="105"/>
      <c r="N29" s="115">
        <v>1.1000000000000001E-3</v>
      </c>
      <c r="O29" s="105"/>
      <c r="P29" s="115">
        <v>1.1000000000000001E-3</v>
      </c>
      <c r="Q29" s="105"/>
      <c r="R29" s="105"/>
      <c r="S29" s="105"/>
      <c r="T29" s="105"/>
    </row>
    <row r="30" spans="2:30" ht="15.6" x14ac:dyDescent="0.3">
      <c r="E30" s="107" t="s">
        <v>330</v>
      </c>
      <c r="F30" s="107"/>
      <c r="G30" s="107"/>
      <c r="H30" s="114"/>
      <c r="I30" s="1"/>
      <c r="J30" s="115">
        <v>4.5100000000000001E-2</v>
      </c>
      <c r="K30" s="105"/>
      <c r="L30" s="115">
        <v>4.53E-2</v>
      </c>
      <c r="M30" s="105"/>
      <c r="N30" s="115">
        <v>4.58E-2</v>
      </c>
      <c r="O30" s="105"/>
      <c r="P30" s="115">
        <v>4.4900000000000002E-2</v>
      </c>
      <c r="Q30" s="105"/>
      <c r="R30" s="105"/>
      <c r="S30" s="105"/>
      <c r="T30" s="105"/>
    </row>
    <row r="31" spans="2:30" ht="15.6" x14ac:dyDescent="0.3">
      <c r="E31" s="107" t="s">
        <v>337</v>
      </c>
      <c r="F31" s="114"/>
      <c r="G31" s="114"/>
      <c r="H31" s="114"/>
      <c r="I31" s="1"/>
      <c r="J31" s="115">
        <v>1.1999999999999999E-3</v>
      </c>
      <c r="K31" s="1"/>
      <c r="L31" s="94">
        <v>1.1999999999999999E-3</v>
      </c>
      <c r="M31" s="42"/>
      <c r="N31" s="94">
        <v>2.5999999999999999E-3</v>
      </c>
      <c r="O31" s="42"/>
      <c r="P31" s="94">
        <v>2.2000000000000001E-3</v>
      </c>
      <c r="Q31" s="1"/>
    </row>
    <row r="32" spans="2:30" x14ac:dyDescent="0.3">
      <c r="I32" s="1"/>
      <c r="J32" s="1"/>
      <c r="K32" s="1"/>
      <c r="L32" s="1"/>
      <c r="M32" s="1"/>
      <c r="N32" s="1"/>
      <c r="O32" s="1"/>
      <c r="P32" s="1"/>
      <c r="Q32" s="1"/>
    </row>
    <row r="34" spans="2:30" ht="21.6" thickBot="1" x14ac:dyDescent="0.45">
      <c r="B34" s="102" t="s">
        <v>331</v>
      </c>
      <c r="C34" s="102"/>
      <c r="D34" s="102"/>
      <c r="E34" s="103"/>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row>
    <row r="35" spans="2:30" ht="15" thickTop="1" x14ac:dyDescent="0.3"/>
    <row r="36" spans="2:30" ht="15.6" x14ac:dyDescent="0.3">
      <c r="E36" s="116" t="s">
        <v>341</v>
      </c>
      <c r="F36" s="116"/>
      <c r="G36" s="116"/>
      <c r="H36" s="116"/>
      <c r="I36" s="116"/>
      <c r="J36" s="116"/>
      <c r="K36" s="116"/>
      <c r="L36" s="116"/>
      <c r="M36" s="116"/>
      <c r="N36" s="116"/>
      <c r="O36" s="116"/>
      <c r="P36" s="116"/>
      <c r="Q36" s="116"/>
      <c r="R36" s="116"/>
      <c r="S36" s="116"/>
      <c r="T36" s="116"/>
      <c r="U36" s="116"/>
      <c r="V36" s="116"/>
      <c r="W36" s="117"/>
      <c r="X36" s="117"/>
    </row>
    <row r="37" spans="2:30" ht="15.6" x14ac:dyDescent="0.3">
      <c r="E37" s="116" t="s">
        <v>342</v>
      </c>
      <c r="F37" s="116"/>
      <c r="G37" s="116"/>
      <c r="H37" s="116"/>
      <c r="I37" s="116"/>
      <c r="J37" s="116"/>
      <c r="K37" s="116"/>
      <c r="L37" s="116"/>
      <c r="M37" s="116"/>
      <c r="N37" s="116"/>
      <c r="O37" s="116"/>
      <c r="P37" s="116"/>
      <c r="Q37" s="116"/>
      <c r="R37" s="116"/>
      <c r="S37" s="116"/>
      <c r="T37" s="116"/>
      <c r="U37" s="116"/>
      <c r="V37" s="116"/>
      <c r="W37" s="117"/>
      <c r="X37" s="117"/>
    </row>
    <row r="38" spans="2:30" ht="15.6" x14ac:dyDescent="0.3">
      <c r="E38" s="116"/>
      <c r="F38" s="116"/>
      <c r="G38" s="116"/>
      <c r="H38" s="116"/>
      <c r="I38" s="116"/>
      <c r="J38" s="116"/>
      <c r="K38" s="116"/>
      <c r="L38" s="116"/>
      <c r="M38" s="116"/>
      <c r="N38" s="116"/>
      <c r="O38" s="116"/>
      <c r="P38" s="116"/>
      <c r="Q38" s="116"/>
      <c r="R38" s="116"/>
      <c r="S38" s="116"/>
      <c r="T38" s="116"/>
      <c r="U38" s="116"/>
      <c r="V38" s="116"/>
      <c r="W38" s="117"/>
      <c r="X38" s="117"/>
    </row>
    <row r="39" spans="2:30" ht="15.6" x14ac:dyDescent="0.3">
      <c r="E39" s="116" t="s">
        <v>343</v>
      </c>
      <c r="F39" s="116"/>
      <c r="G39" s="116"/>
      <c r="H39" s="116"/>
      <c r="I39" s="116"/>
      <c r="J39" s="116"/>
      <c r="K39" s="116"/>
      <c r="L39" s="116"/>
      <c r="M39" s="116"/>
      <c r="N39" s="116"/>
      <c r="O39" s="116"/>
      <c r="P39" s="116"/>
      <c r="Q39" s="116"/>
      <c r="R39" s="116"/>
      <c r="S39" s="116"/>
      <c r="T39" s="116"/>
      <c r="U39" s="116"/>
      <c r="V39" s="116"/>
      <c r="W39" s="117"/>
      <c r="X39" s="117"/>
    </row>
    <row r="40" spans="2:30" ht="15.6" x14ac:dyDescent="0.3">
      <c r="E40" s="116" t="s">
        <v>344</v>
      </c>
      <c r="F40" s="116"/>
      <c r="G40" s="116"/>
      <c r="H40" s="116"/>
      <c r="I40" s="116"/>
      <c r="J40" s="116"/>
      <c r="K40" s="116"/>
      <c r="L40" s="116"/>
      <c r="M40" s="116"/>
      <c r="N40" s="116"/>
      <c r="O40" s="116"/>
      <c r="P40" s="116"/>
      <c r="Q40" s="116"/>
      <c r="R40" s="116"/>
      <c r="S40" s="116"/>
      <c r="T40" s="116"/>
      <c r="U40" s="116"/>
      <c r="V40" s="116"/>
      <c r="W40" s="117"/>
      <c r="X40" s="117"/>
    </row>
    <row r="41" spans="2:30" ht="15.6" x14ac:dyDescent="0.3">
      <c r="E41" s="116"/>
      <c r="F41" s="116"/>
      <c r="G41" s="116"/>
      <c r="H41" s="116"/>
      <c r="I41" s="116"/>
      <c r="J41" s="116"/>
      <c r="K41" s="116"/>
      <c r="L41" s="116"/>
      <c r="M41" s="116"/>
      <c r="N41" s="116"/>
      <c r="O41" s="116"/>
      <c r="P41" s="116"/>
      <c r="Q41" s="116"/>
      <c r="R41" s="116"/>
      <c r="S41" s="116"/>
      <c r="T41" s="116"/>
      <c r="U41" s="116"/>
      <c r="V41" s="116"/>
      <c r="W41" s="117"/>
      <c r="X41" s="117"/>
    </row>
    <row r="42" spans="2:30" ht="15.6" x14ac:dyDescent="0.3">
      <c r="E42" s="116" t="s">
        <v>345</v>
      </c>
      <c r="F42" s="116"/>
      <c r="G42" s="116"/>
      <c r="H42" s="116"/>
      <c r="I42" s="116"/>
      <c r="J42" s="116"/>
      <c r="K42" s="116"/>
      <c r="L42" s="116"/>
      <c r="M42" s="116"/>
      <c r="N42" s="116"/>
      <c r="O42" s="116"/>
      <c r="P42" s="116"/>
      <c r="Q42" s="116"/>
      <c r="R42" s="116"/>
      <c r="S42" s="116"/>
      <c r="T42" s="116"/>
      <c r="U42" s="116"/>
      <c r="V42" s="116"/>
      <c r="W42" s="117"/>
      <c r="X42" s="117"/>
    </row>
    <row r="43" spans="2:30" ht="15.6" x14ac:dyDescent="0.3">
      <c r="E43" s="116"/>
      <c r="F43" s="116"/>
      <c r="G43" s="116"/>
      <c r="H43" s="116"/>
      <c r="I43" s="116"/>
      <c r="J43" s="116"/>
      <c r="K43" s="116"/>
      <c r="L43" s="116"/>
      <c r="M43" s="116"/>
      <c r="N43" s="116"/>
      <c r="O43" s="116"/>
      <c r="P43" s="116"/>
      <c r="Q43" s="116"/>
      <c r="R43" s="116"/>
      <c r="S43" s="116"/>
      <c r="T43" s="116"/>
      <c r="U43" s="116"/>
      <c r="V43" s="116"/>
      <c r="W43" s="117"/>
      <c r="X43" s="117"/>
    </row>
    <row r="44" spans="2:30" ht="15.6" x14ac:dyDescent="0.3">
      <c r="E44" s="116" t="s">
        <v>346</v>
      </c>
      <c r="F44" s="116"/>
      <c r="G44" s="116"/>
      <c r="H44" s="116"/>
      <c r="I44" s="116"/>
      <c r="J44" s="116"/>
      <c r="K44" s="116"/>
      <c r="L44" s="116"/>
      <c r="M44" s="116"/>
      <c r="N44" s="116"/>
      <c r="O44" s="116"/>
      <c r="P44" s="116"/>
      <c r="Q44" s="116"/>
      <c r="R44" s="116"/>
      <c r="S44" s="116"/>
      <c r="T44" s="116"/>
      <c r="U44" s="116"/>
      <c r="V44" s="116"/>
      <c r="W44" s="117"/>
      <c r="X44" s="117"/>
    </row>
    <row r="45" spans="2:30" ht="15.6" x14ac:dyDescent="0.3">
      <c r="E45" s="116"/>
      <c r="F45" s="116"/>
      <c r="G45" s="116"/>
      <c r="H45" s="116"/>
      <c r="I45" s="116"/>
      <c r="J45" s="116"/>
      <c r="K45" s="116"/>
      <c r="L45" s="116"/>
      <c r="M45" s="116"/>
      <c r="N45" s="116"/>
      <c r="O45" s="116"/>
      <c r="P45" s="116"/>
      <c r="Q45" s="116"/>
      <c r="R45" s="116"/>
      <c r="S45" s="116"/>
      <c r="T45" s="116"/>
      <c r="U45" s="116"/>
      <c r="V45" s="116"/>
      <c r="W45" s="117"/>
      <c r="X45" s="117"/>
    </row>
    <row r="46" spans="2:30" ht="15.6" x14ac:dyDescent="0.3">
      <c r="E46" s="116" t="s">
        <v>347</v>
      </c>
      <c r="F46" s="116"/>
      <c r="G46" s="116"/>
      <c r="H46" s="116"/>
      <c r="I46" s="116"/>
      <c r="J46" s="116"/>
      <c r="K46" s="116"/>
      <c r="L46" s="116"/>
      <c r="M46" s="116"/>
      <c r="N46" s="116"/>
      <c r="O46" s="116"/>
      <c r="P46" s="116"/>
      <c r="Q46" s="116"/>
      <c r="R46" s="116"/>
      <c r="S46" s="116"/>
      <c r="T46" s="116"/>
      <c r="U46" s="116"/>
      <c r="V46" s="116"/>
      <c r="W46" s="117"/>
      <c r="X46" s="117"/>
    </row>
    <row r="47" spans="2:30" ht="15.6" x14ac:dyDescent="0.3">
      <c r="E47" s="116"/>
      <c r="F47" s="116"/>
      <c r="G47" s="116"/>
      <c r="H47" s="116"/>
      <c r="I47" s="116"/>
      <c r="J47" s="116"/>
      <c r="K47" s="116"/>
      <c r="L47" s="116"/>
      <c r="M47" s="116"/>
      <c r="N47" s="116"/>
      <c r="O47" s="116"/>
      <c r="P47" s="116"/>
      <c r="Q47" s="116"/>
      <c r="R47" s="116"/>
      <c r="S47" s="116"/>
      <c r="T47" s="116"/>
      <c r="U47" s="116"/>
      <c r="V47" s="116"/>
      <c r="W47" s="117"/>
      <c r="X47" s="117"/>
    </row>
    <row r="48" spans="2:30" ht="15.6" x14ac:dyDescent="0.3">
      <c r="E48" s="116"/>
      <c r="F48" s="116"/>
      <c r="G48" s="116"/>
      <c r="H48" s="116"/>
      <c r="I48" s="116"/>
      <c r="J48" s="116"/>
      <c r="K48" s="116"/>
      <c r="L48" s="116"/>
      <c r="M48" s="116"/>
      <c r="N48" s="116"/>
      <c r="O48" s="116"/>
      <c r="P48" s="116"/>
      <c r="Q48" s="116"/>
      <c r="R48" s="116"/>
      <c r="S48" s="116"/>
      <c r="T48" s="116"/>
      <c r="U48" s="116"/>
      <c r="V48" s="116"/>
      <c r="W48" s="117"/>
      <c r="X48" s="117"/>
    </row>
    <row r="49" spans="5:22" ht="15.6" x14ac:dyDescent="0.3">
      <c r="E49" s="107"/>
      <c r="F49" s="107"/>
      <c r="G49" s="107"/>
      <c r="H49" s="107"/>
      <c r="I49" s="107"/>
      <c r="J49" s="107"/>
      <c r="K49" s="107"/>
      <c r="L49" s="107"/>
      <c r="M49" s="107"/>
      <c r="N49" s="107"/>
      <c r="O49" s="107"/>
      <c r="P49" s="107"/>
      <c r="Q49" s="107"/>
      <c r="R49" s="107"/>
      <c r="S49" s="107"/>
      <c r="T49" s="107"/>
      <c r="U49" s="107"/>
      <c r="V49" s="10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C111E-9E0F-4D4B-A719-9663F5CF33EF}">
  <dimension ref="B2:L73"/>
  <sheetViews>
    <sheetView showGridLines="0" zoomScale="81" workbookViewId="0">
      <selection activeCell="G15" sqref="G15"/>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3.88671875"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7" spans="2:12" x14ac:dyDescent="0.3">
      <c r="I7" s="7"/>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43" t="s">
        <v>210</v>
      </c>
      <c r="C12" s="43"/>
      <c r="D12" s="44">
        <f t="shared" ref="D12:L12" si="0">D14/C14-1</f>
        <v>0.18190854870775341</v>
      </c>
      <c r="E12" s="44">
        <f t="shared" si="0"/>
        <v>2.6492851135407891E-2</v>
      </c>
      <c r="F12" s="44">
        <f t="shared" si="0"/>
        <v>-1.1368291683736209E-2</v>
      </c>
      <c r="G12" s="44">
        <f t="shared" si="0"/>
        <v>0.12203460064228744</v>
      </c>
      <c r="H12" s="44">
        <f t="shared" si="0"/>
        <v>0.13423806070651612</v>
      </c>
      <c r="I12" s="44">
        <f t="shared" si="0"/>
        <v>0.14766186677716786</v>
      </c>
      <c r="J12" s="44">
        <f t="shared" si="0"/>
        <v>0.16242805345488454</v>
      </c>
      <c r="K12" s="44">
        <f t="shared" si="0"/>
        <v>0.17867085880037292</v>
      </c>
      <c r="L12" s="44">
        <f t="shared" si="0"/>
        <v>0.1965379446804103</v>
      </c>
    </row>
    <row r="13" spans="2:12" x14ac:dyDescent="0.3">
      <c r="B13" s="1" t="s">
        <v>10</v>
      </c>
      <c r="C13" s="7"/>
    </row>
    <row r="14" spans="2:12" x14ac:dyDescent="0.3">
      <c r="B14" t="s">
        <v>7</v>
      </c>
      <c r="C14" s="7">
        <v>8048</v>
      </c>
      <c r="D14" s="7">
        <v>9512</v>
      </c>
      <c r="E14" s="7">
        <v>9764</v>
      </c>
      <c r="F14" s="7">
        <v>9653</v>
      </c>
      <c r="G14" s="7">
        <v>10831</v>
      </c>
      <c r="H14" s="27">
        <f>'Revenue schedule'!H15</f>
        <v>12284.932435512275</v>
      </c>
      <c r="I14" s="27">
        <f>'Revenue schedule'!I15</f>
        <v>14098.948492171397</v>
      </c>
      <c r="J14" s="27">
        <f>'Revenue schedule'!J15</f>
        <v>16389.013251515476</v>
      </c>
      <c r="K14" s="27">
        <f>'Revenue schedule'!K15</f>
        <v>19317.25232405444</v>
      </c>
      <c r="L14" s="27">
        <f>'Revenue schedule'!L15</f>
        <v>23113.825392696977</v>
      </c>
    </row>
    <row r="15" spans="2:12" x14ac:dyDescent="0.3">
      <c r="B15" t="s">
        <v>8</v>
      </c>
      <c r="C15" s="7">
        <v>94</v>
      </c>
      <c r="D15" s="7">
        <v>98</v>
      </c>
      <c r="E15" s="7">
        <v>144</v>
      </c>
      <c r="F15" s="7">
        <v>142</v>
      </c>
      <c r="G15" s="7"/>
      <c r="H15" s="27">
        <f>G15</f>
        <v>0</v>
      </c>
      <c r="I15" s="27">
        <f t="shared" ref="I15:L15" si="1">H15</f>
        <v>0</v>
      </c>
      <c r="J15" s="27">
        <f t="shared" si="1"/>
        <v>0</v>
      </c>
      <c r="K15" s="27">
        <f t="shared" si="1"/>
        <v>0</v>
      </c>
      <c r="L15" s="27">
        <f t="shared" si="1"/>
        <v>0</v>
      </c>
    </row>
    <row r="16" spans="2:12" x14ac:dyDescent="0.3">
      <c r="B16" s="5" t="s">
        <v>9</v>
      </c>
      <c r="C16" s="10">
        <f>SUM(C14:C15)</f>
        <v>8142</v>
      </c>
      <c r="D16" s="10">
        <f t="shared" ref="D16:L16" si="2">SUM(D14:D15)</f>
        <v>9610</v>
      </c>
      <c r="E16" s="10">
        <f t="shared" si="2"/>
        <v>9908</v>
      </c>
      <c r="F16" s="10">
        <f t="shared" si="2"/>
        <v>9795</v>
      </c>
      <c r="G16" s="10">
        <f t="shared" si="2"/>
        <v>10831</v>
      </c>
      <c r="H16" s="10">
        <f t="shared" si="2"/>
        <v>12284.932435512275</v>
      </c>
      <c r="I16" s="10">
        <f t="shared" si="2"/>
        <v>14098.948492171397</v>
      </c>
      <c r="J16" s="10">
        <f t="shared" si="2"/>
        <v>16389.013251515476</v>
      </c>
      <c r="K16" s="10">
        <f t="shared" si="2"/>
        <v>19317.25232405444</v>
      </c>
      <c r="L16" s="10">
        <f t="shared" si="2"/>
        <v>23113.825392696977</v>
      </c>
    </row>
    <row r="17" spans="2:12" x14ac:dyDescent="0.3">
      <c r="B17" s="2" t="s">
        <v>11</v>
      </c>
      <c r="C17" s="7"/>
      <c r="D17" s="7"/>
      <c r="E17" s="7"/>
      <c r="F17" s="7"/>
      <c r="G17" s="7"/>
      <c r="H17" s="27"/>
      <c r="I17" s="27"/>
      <c r="J17" s="27"/>
      <c r="K17" s="27"/>
      <c r="L17" s="27"/>
    </row>
    <row r="18" spans="2:12" x14ac:dyDescent="0.3">
      <c r="B18" t="s">
        <v>12</v>
      </c>
      <c r="C18" s="7">
        <v>3884</v>
      </c>
      <c r="D18" s="7">
        <v>5061</v>
      </c>
      <c r="E18" s="7">
        <v>4649</v>
      </c>
      <c r="F18" s="7">
        <v>3941</v>
      </c>
      <c r="G18" s="7">
        <v>4572</v>
      </c>
      <c r="H18" s="27">
        <f>'Cost Schedule'!H15</f>
        <v>5691.2646061067098</v>
      </c>
      <c r="I18" s="27">
        <f>'Cost Schedule'!I15</f>
        <v>6525.0076862534997</v>
      </c>
      <c r="J18" s="27">
        <f>'Cost Schedule'!J15</f>
        <v>7457.8735219202999</v>
      </c>
      <c r="K18" s="27">
        <f>'Cost Schedule'!K15</f>
        <v>8690.305310186468</v>
      </c>
      <c r="L18" s="27">
        <f>'Cost Schedule'!L15</f>
        <v>10482.452651460713</v>
      </c>
    </row>
    <row r="19" spans="2:12" x14ac:dyDescent="0.3">
      <c r="B19" t="s">
        <v>13</v>
      </c>
      <c r="C19" s="7">
        <v>339</v>
      </c>
      <c r="D19" s="7">
        <v>491</v>
      </c>
      <c r="E19" s="7">
        <v>541</v>
      </c>
      <c r="F19" s="7">
        <v>752</v>
      </c>
      <c r="G19" s="7">
        <v>960</v>
      </c>
      <c r="H19" s="27">
        <f>'Cost Schedule'!H16</f>
        <v>787.76527770548603</v>
      </c>
      <c r="I19" s="27">
        <f>'Cost Schedule'!I16</f>
        <v>903.16912808385814</v>
      </c>
      <c r="J19" s="27">
        <f>'Cost Schedule'!J16</f>
        <v>1032.2932094536638</v>
      </c>
      <c r="K19" s="27">
        <f>'Cost Schedule'!K16</f>
        <v>1202.8821799427233</v>
      </c>
      <c r="L19" s="27">
        <f>'Cost Schedule'!L16</f>
        <v>1450.9450527308215</v>
      </c>
    </row>
    <row r="20" spans="2:12" ht="28.8" x14ac:dyDescent="0.3">
      <c r="B20" s="3" t="s">
        <v>14</v>
      </c>
      <c r="C20" s="7">
        <v>47</v>
      </c>
      <c r="D20" s="7">
        <v>-116</v>
      </c>
      <c r="E20" s="7">
        <v>161</v>
      </c>
      <c r="F20" s="7">
        <v>55</v>
      </c>
      <c r="G20" s="7">
        <v>-144</v>
      </c>
      <c r="H20" s="27">
        <f>'Cost Schedule'!H17</f>
        <v>5.9836008774746681</v>
      </c>
      <c r="I20" s="27">
        <f>'Cost Schedule'!I17</f>
        <v>6.8601698250161007</v>
      </c>
      <c r="J20" s="27">
        <f>'Cost Schedule'!J17</f>
        <v>7.8409530461779928</v>
      </c>
      <c r="K20" s="27">
        <f>'Cost Schedule'!K17</f>
        <v>9.1366896601081251</v>
      </c>
      <c r="L20" s="27">
        <f>'Cost Schedule'!L17</f>
        <v>11.020892055531137</v>
      </c>
    </row>
    <row r="21" spans="2:12" x14ac:dyDescent="0.3">
      <c r="B21" s="4" t="s">
        <v>15</v>
      </c>
      <c r="C21" s="11">
        <f>SUM(C18:C20)</f>
        <v>4270</v>
      </c>
      <c r="D21" s="11">
        <f t="shared" ref="D21:L21" si="3">SUM(D18:D20)</f>
        <v>5436</v>
      </c>
      <c r="E21" s="11">
        <f t="shared" si="3"/>
        <v>5351</v>
      </c>
      <c r="F21" s="11">
        <f t="shared" si="3"/>
        <v>4748</v>
      </c>
      <c r="G21" s="11">
        <f t="shared" si="3"/>
        <v>5388</v>
      </c>
      <c r="H21" s="11">
        <f t="shared" si="3"/>
        <v>6485.0134846896708</v>
      </c>
      <c r="I21" s="11">
        <f t="shared" si="3"/>
        <v>7435.0369841623733</v>
      </c>
      <c r="J21" s="11">
        <f t="shared" si="3"/>
        <v>8498.0076844201412</v>
      </c>
      <c r="K21" s="11">
        <f t="shared" si="3"/>
        <v>9902.3241797893006</v>
      </c>
      <c r="L21" s="11">
        <f t="shared" si="3"/>
        <v>11944.418596247066</v>
      </c>
    </row>
    <row r="22" spans="2:12" x14ac:dyDescent="0.3">
      <c r="B22" t="s">
        <v>24</v>
      </c>
      <c r="C22" s="7">
        <v>570</v>
      </c>
      <c r="D22" s="7">
        <v>586</v>
      </c>
      <c r="E22" s="7">
        <v>653</v>
      </c>
      <c r="F22" s="7">
        <v>743</v>
      </c>
      <c r="G22" s="7">
        <v>831</v>
      </c>
      <c r="H22" s="27">
        <f>'Cost Schedule'!H29</f>
        <v>867.32821410567851</v>
      </c>
      <c r="I22" s="27">
        <f>'Cost Schedule'!I29</f>
        <v>995.3995173090301</v>
      </c>
      <c r="J22" s="27">
        <f>'Cost Schedule'!J29</f>
        <v>1157.0803233154675</v>
      </c>
      <c r="K22" s="27">
        <f>'Cost Schedule'!K29</f>
        <v>1363.8168583832553</v>
      </c>
      <c r="L22" s="27">
        <f>'Cost Schedule'!L29</f>
        <v>1631.8586206503944</v>
      </c>
    </row>
    <row r="23" spans="2:12" x14ac:dyDescent="0.3">
      <c r="B23" t="s">
        <v>21</v>
      </c>
      <c r="C23" s="7">
        <v>34</v>
      </c>
      <c r="D23" s="7">
        <v>39</v>
      </c>
      <c r="E23" s="7">
        <v>56</v>
      </c>
      <c r="F23" s="7">
        <v>73</v>
      </c>
      <c r="G23" s="7">
        <v>53</v>
      </c>
      <c r="H23" s="27">
        <f>'Debt Schedule'!H37</f>
        <v>58.849927343030551</v>
      </c>
      <c r="I23" s="27">
        <f>'Debt Schedule'!I37</f>
        <v>61.60618364619264</v>
      </c>
      <c r="J23" s="27">
        <f>'Debt Schedule'!J37</f>
        <v>65.133903488061506</v>
      </c>
      <c r="K23" s="27">
        <f>'Debt Schedule'!K37</f>
        <v>69.641291863642735</v>
      </c>
      <c r="L23" s="27">
        <f>'Debt Schedule'!L37</f>
        <v>75.413253040135999</v>
      </c>
    </row>
    <row r="24" spans="2:12" x14ac:dyDescent="0.3">
      <c r="B24" t="s">
        <v>22</v>
      </c>
      <c r="C24" s="7">
        <v>139</v>
      </c>
      <c r="D24" s="7">
        <v>139</v>
      </c>
      <c r="E24" s="7">
        <v>155</v>
      </c>
      <c r="F24" s="7">
        <v>158</v>
      </c>
      <c r="G24" s="7">
        <v>178</v>
      </c>
      <c r="H24" s="27">
        <f>-('Asset Schedule'!H34)</f>
        <v>226.24873097698548</v>
      </c>
      <c r="I24" s="27">
        <f>-('Asset Schedule'!I34)</f>
        <v>226.93129825301961</v>
      </c>
      <c r="J24" s="27">
        <f>-('Asset Schedule'!J34)</f>
        <v>236.17126524914008</v>
      </c>
      <c r="K24" s="27">
        <f>-('Asset Schedule'!K34)</f>
        <v>256.22074041892057</v>
      </c>
      <c r="L24" s="27">
        <f>-('Asset Schedule'!L34)</f>
        <v>286.85565889122336</v>
      </c>
    </row>
    <row r="25" spans="2:12" x14ac:dyDescent="0.3">
      <c r="B25" t="s">
        <v>23</v>
      </c>
      <c r="C25" s="7">
        <v>1617</v>
      </c>
      <c r="D25" s="7">
        <v>1809</v>
      </c>
      <c r="E25" s="7">
        <v>1950</v>
      </c>
      <c r="F25" s="7">
        <v>2136</v>
      </c>
      <c r="G25" s="7">
        <v>2473</v>
      </c>
      <c r="H25" s="7">
        <f>'Cost Schedule'!H34</f>
        <v>2556.2929661298358</v>
      </c>
      <c r="I25" s="7">
        <f>'Cost Schedule'!I34</f>
        <v>2933.7599575379109</v>
      </c>
      <c r="J25" s="7">
        <f>'Cost Schedule'!J34</f>
        <v>3410.2848767446785</v>
      </c>
      <c r="K25" s="7">
        <f>'Cost Schedule'!K34</f>
        <v>4019.6034044265739</v>
      </c>
      <c r="L25" s="7">
        <f>'Cost Schedule'!L34</f>
        <v>4809.6079959629524</v>
      </c>
    </row>
    <row r="26" spans="2:12" x14ac:dyDescent="0.3">
      <c r="B26" s="1" t="s">
        <v>25</v>
      </c>
      <c r="C26" s="13">
        <f>SUM(C21:C25)</f>
        <v>6630</v>
      </c>
      <c r="D26" s="13">
        <f t="shared" ref="D26:L26" si="4">SUM(D21:D25)</f>
        <v>8009</v>
      </c>
      <c r="E26" s="13">
        <f t="shared" si="4"/>
        <v>8165</v>
      </c>
      <c r="F26" s="13">
        <f t="shared" si="4"/>
        <v>7858</v>
      </c>
      <c r="G26" s="13">
        <f t="shared" si="4"/>
        <v>8923</v>
      </c>
      <c r="H26" s="13">
        <f t="shared" si="4"/>
        <v>10193.733323245202</v>
      </c>
      <c r="I26" s="13">
        <f t="shared" si="4"/>
        <v>11652.733940908525</v>
      </c>
      <c r="J26" s="13">
        <f t="shared" si="4"/>
        <v>13366.678053217489</v>
      </c>
      <c r="K26" s="13">
        <f t="shared" si="4"/>
        <v>15611.606474881695</v>
      </c>
      <c r="L26" s="13">
        <f t="shared" si="4"/>
        <v>18748.154124791774</v>
      </c>
    </row>
    <row r="27" spans="2:12" ht="28.8" x14ac:dyDescent="0.3">
      <c r="B27" s="3" t="s">
        <v>26</v>
      </c>
      <c r="C27" s="7">
        <f t="shared" ref="C27:L27" si="5">C16-C26</f>
        <v>1512</v>
      </c>
      <c r="D27" s="7">
        <f t="shared" si="5"/>
        <v>1601</v>
      </c>
      <c r="E27" s="7">
        <f t="shared" si="5"/>
        <v>1743</v>
      </c>
      <c r="F27" s="7">
        <f t="shared" si="5"/>
        <v>1937</v>
      </c>
      <c r="G27" s="7">
        <f t="shared" si="5"/>
        <v>1908</v>
      </c>
      <c r="H27" s="7">
        <f t="shared" si="5"/>
        <v>2091.1991122670734</v>
      </c>
      <c r="I27" s="7">
        <f t="shared" si="5"/>
        <v>2446.2145512628722</v>
      </c>
      <c r="J27" s="7">
        <f t="shared" si="5"/>
        <v>3022.3351982979875</v>
      </c>
      <c r="K27" s="7">
        <f t="shared" si="5"/>
        <v>3705.6458491727444</v>
      </c>
      <c r="L27" s="7">
        <f t="shared" si="5"/>
        <v>4365.6712679052034</v>
      </c>
    </row>
    <row r="28" spans="2:12" x14ac:dyDescent="0.3">
      <c r="B28" t="s">
        <v>27</v>
      </c>
      <c r="C28" s="7">
        <v>-2</v>
      </c>
      <c r="D28" s="7">
        <v>0</v>
      </c>
      <c r="E28" s="7">
        <v>0</v>
      </c>
      <c r="F28" s="7">
        <v>0</v>
      </c>
      <c r="G28" s="7">
        <v>0</v>
      </c>
      <c r="H28" s="7">
        <v>0</v>
      </c>
      <c r="I28" s="7">
        <v>0</v>
      </c>
      <c r="J28" s="7">
        <v>0</v>
      </c>
      <c r="K28" s="7">
        <v>0</v>
      </c>
      <c r="L28" s="7">
        <v>0</v>
      </c>
    </row>
    <row r="29" spans="2:12" x14ac:dyDescent="0.3">
      <c r="B29" t="s">
        <v>28</v>
      </c>
      <c r="C29" s="7">
        <f>SUM(C27:C28)</f>
        <v>1510</v>
      </c>
      <c r="D29" s="7">
        <f t="shared" ref="D29:L29" si="6">SUM(D27:D28)</f>
        <v>1601</v>
      </c>
      <c r="E29" s="7">
        <f t="shared" si="6"/>
        <v>1743</v>
      </c>
      <c r="F29" s="7">
        <f t="shared" si="6"/>
        <v>1937</v>
      </c>
      <c r="G29" s="7">
        <f t="shared" si="6"/>
        <v>1908</v>
      </c>
      <c r="H29" s="7">
        <f t="shared" si="6"/>
        <v>2091.1991122670734</v>
      </c>
      <c r="I29" s="7">
        <f t="shared" si="6"/>
        <v>2446.2145512628722</v>
      </c>
      <c r="J29" s="7">
        <f t="shared" si="6"/>
        <v>3022.3351982979875</v>
      </c>
      <c r="K29" s="7">
        <f t="shared" si="6"/>
        <v>3705.6458491727444</v>
      </c>
      <c r="L29" s="7">
        <f t="shared" si="6"/>
        <v>4365.6712679052034</v>
      </c>
    </row>
    <row r="30" spans="2:12" x14ac:dyDescent="0.3">
      <c r="B30" t="s">
        <v>29</v>
      </c>
      <c r="C30" s="7">
        <v>13</v>
      </c>
      <c r="D30" s="7">
        <v>0</v>
      </c>
      <c r="E30" s="7">
        <v>0</v>
      </c>
      <c r="F30" s="7">
        <v>0</v>
      </c>
      <c r="G30" s="7">
        <v>0</v>
      </c>
      <c r="H30" s="7">
        <v>0</v>
      </c>
      <c r="I30" s="7">
        <v>0</v>
      </c>
      <c r="J30" s="7">
        <v>0</v>
      </c>
      <c r="K30" s="7">
        <v>0</v>
      </c>
      <c r="L30" s="7">
        <v>0</v>
      </c>
    </row>
    <row r="31" spans="2:12" x14ac:dyDescent="0.3">
      <c r="B31" s="5" t="s">
        <v>30</v>
      </c>
      <c r="C31" s="14">
        <f>SUM(C29:C30)</f>
        <v>1523</v>
      </c>
      <c r="D31" s="14">
        <f t="shared" ref="D31:L31" si="7">D29-D30</f>
        <v>1601</v>
      </c>
      <c r="E31" s="14">
        <f t="shared" si="7"/>
        <v>1743</v>
      </c>
      <c r="F31" s="14">
        <f t="shared" si="7"/>
        <v>1937</v>
      </c>
      <c r="G31" s="14">
        <f t="shared" si="7"/>
        <v>1908</v>
      </c>
      <c r="H31" s="14">
        <f t="shared" si="7"/>
        <v>2091.1991122670734</v>
      </c>
      <c r="I31" s="14">
        <f t="shared" si="7"/>
        <v>2446.2145512628722</v>
      </c>
      <c r="J31" s="14">
        <f t="shared" si="7"/>
        <v>3022.3351982979875</v>
      </c>
      <c r="K31" s="14">
        <f t="shared" si="7"/>
        <v>3705.6458491727444</v>
      </c>
      <c r="L31" s="14">
        <f t="shared" si="7"/>
        <v>4365.6712679052034</v>
      </c>
    </row>
    <row r="32" spans="2:12" x14ac:dyDescent="0.3">
      <c r="B32" s="1" t="s">
        <v>31</v>
      </c>
      <c r="C32" s="7"/>
      <c r="D32" s="7"/>
      <c r="E32" s="7"/>
      <c r="F32" s="7"/>
      <c r="G32" s="7"/>
      <c r="H32" s="7"/>
      <c r="I32" s="7"/>
      <c r="J32" s="7"/>
      <c r="K32" s="7"/>
      <c r="L32" s="7"/>
    </row>
    <row r="33" spans="2:12" x14ac:dyDescent="0.3">
      <c r="B33" t="s">
        <v>32</v>
      </c>
      <c r="C33" s="7">
        <v>335</v>
      </c>
      <c r="D33" s="7">
        <v>343</v>
      </c>
      <c r="E33" s="7">
        <v>377</v>
      </c>
      <c r="F33" s="7">
        <v>353</v>
      </c>
      <c r="G33" s="7">
        <v>480</v>
      </c>
      <c r="H33" s="7">
        <f>'Cost Schedule'!H44</f>
        <v>587.73931105133966</v>
      </c>
      <c r="I33" s="7">
        <f>'Cost Schedule'!I44</f>
        <v>698.6247330231306</v>
      </c>
      <c r="J33" s="7">
        <f>'Cost Schedule'!J44</f>
        <v>876.46659526839971</v>
      </c>
      <c r="K33" s="7">
        <f>'Cost Schedule'!K44</f>
        <v>1063.9022515015372</v>
      </c>
      <c r="L33" s="7">
        <f>'Cost Schedule'!L44</f>
        <v>1262.3166859152659</v>
      </c>
    </row>
    <row r="34" spans="2:12" x14ac:dyDescent="0.3">
      <c r="B34" t="s">
        <v>33</v>
      </c>
      <c r="C34" s="7">
        <v>-11</v>
      </c>
      <c r="D34" s="7">
        <v>3</v>
      </c>
      <c r="E34" s="7">
        <v>44</v>
      </c>
      <c r="F34" s="7">
        <v>82</v>
      </c>
      <c r="G34" s="7">
        <v>-22</v>
      </c>
      <c r="H34" s="7">
        <f>'Cost Schedule'!H45</f>
        <v>27.012666615379931</v>
      </c>
      <c r="I34" s="7">
        <f>'Cost Schedule'!I45</f>
        <v>32.108992282063248</v>
      </c>
      <c r="J34" s="7">
        <f>'Cost Schedule'!J45</f>
        <v>40.28265506888021</v>
      </c>
      <c r="K34" s="7">
        <f>'Cost Schedule'!K45</f>
        <v>48.897251367711803</v>
      </c>
      <c r="L34" s="7">
        <f>'Cost Schedule'!L45</f>
        <v>58.016435447656811</v>
      </c>
    </row>
    <row r="35" spans="2:12" x14ac:dyDescent="0.3">
      <c r="B35" s="1" t="s">
        <v>34</v>
      </c>
      <c r="C35" s="13">
        <f>SUM(C33:C34)</f>
        <v>324</v>
      </c>
      <c r="D35" s="13">
        <f t="shared" ref="D35:L35" si="8">SUM(D33:D34)</f>
        <v>346</v>
      </c>
      <c r="E35" s="13">
        <f t="shared" si="8"/>
        <v>421</v>
      </c>
      <c r="F35" s="13">
        <f t="shared" si="8"/>
        <v>435</v>
      </c>
      <c r="G35" s="13">
        <f t="shared" si="8"/>
        <v>458</v>
      </c>
      <c r="H35" s="13">
        <f t="shared" si="8"/>
        <v>614.75197766671954</v>
      </c>
      <c r="I35" s="13">
        <f t="shared" si="8"/>
        <v>730.73372530519384</v>
      </c>
      <c r="J35" s="13">
        <f t="shared" si="8"/>
        <v>916.74925033727993</v>
      </c>
      <c r="K35" s="13">
        <f t="shared" si="8"/>
        <v>1112.799502869249</v>
      </c>
      <c r="L35" s="13">
        <f t="shared" si="8"/>
        <v>1320.3331213629226</v>
      </c>
    </row>
    <row r="36" spans="2:12" x14ac:dyDescent="0.3">
      <c r="B36" s="8" t="s">
        <v>44</v>
      </c>
      <c r="C36" s="15">
        <f>C31-C35</f>
        <v>1199</v>
      </c>
      <c r="D36" s="15">
        <f t="shared" ref="D36:L36" si="9">D31-D35</f>
        <v>1255</v>
      </c>
      <c r="E36" s="15">
        <f t="shared" si="9"/>
        <v>1322</v>
      </c>
      <c r="F36" s="15">
        <f t="shared" si="9"/>
        <v>1502</v>
      </c>
      <c r="G36" s="15">
        <f t="shared" si="9"/>
        <v>1450</v>
      </c>
      <c r="H36" s="15">
        <f t="shared" si="9"/>
        <v>1476.4471346003538</v>
      </c>
      <c r="I36" s="15">
        <f t="shared" si="9"/>
        <v>1715.4808259576785</v>
      </c>
      <c r="J36" s="15">
        <f t="shared" si="9"/>
        <v>2105.5859479607075</v>
      </c>
      <c r="K36" s="15">
        <f t="shared" si="9"/>
        <v>2592.8463463034955</v>
      </c>
      <c r="L36" s="15">
        <f t="shared" si="9"/>
        <v>3045.3381465422808</v>
      </c>
    </row>
    <row r="37" spans="2:12" x14ac:dyDescent="0.3">
      <c r="B37" s="1" t="s">
        <v>39</v>
      </c>
      <c r="C37" s="7"/>
      <c r="D37" s="7"/>
      <c r="E37" s="7"/>
      <c r="F37" s="7"/>
      <c r="G37" s="7"/>
      <c r="H37" s="7"/>
      <c r="I37" s="7"/>
      <c r="J37" s="7"/>
      <c r="K37" s="7"/>
      <c r="L37" s="7"/>
    </row>
    <row r="38" spans="2:12" x14ac:dyDescent="0.3">
      <c r="B38" t="s">
        <v>35</v>
      </c>
      <c r="C38" s="7"/>
      <c r="D38" s="7"/>
      <c r="E38" s="7"/>
      <c r="F38" s="7"/>
      <c r="G38" s="7"/>
      <c r="H38" s="7"/>
      <c r="I38" s="7"/>
      <c r="J38" s="7"/>
      <c r="K38" s="7"/>
      <c r="L38" s="7"/>
    </row>
    <row r="39" spans="2:12" x14ac:dyDescent="0.3">
      <c r="B39" t="s">
        <v>36</v>
      </c>
      <c r="C39" s="7">
        <v>-1</v>
      </c>
      <c r="D39" s="7">
        <v>5</v>
      </c>
      <c r="E39" s="7">
        <v>2</v>
      </c>
      <c r="F39" s="7">
        <v>2</v>
      </c>
      <c r="G39" s="7">
        <v>-1</v>
      </c>
      <c r="H39" s="7"/>
      <c r="I39" s="7"/>
      <c r="J39" s="7"/>
      <c r="K39" s="7"/>
      <c r="L39" s="7"/>
    </row>
    <row r="40" spans="2:12" ht="28.8" x14ac:dyDescent="0.3">
      <c r="B40" s="6" t="s">
        <v>37</v>
      </c>
      <c r="C40" s="7"/>
      <c r="D40" s="7"/>
      <c r="E40" s="7"/>
      <c r="F40" s="7"/>
      <c r="G40" s="7"/>
      <c r="H40" s="7"/>
      <c r="I40" s="7"/>
      <c r="J40" s="7"/>
      <c r="K40" s="7"/>
      <c r="L40" s="7"/>
    </row>
    <row r="41" spans="2:12" x14ac:dyDescent="0.3">
      <c r="B41" t="s">
        <v>36</v>
      </c>
      <c r="C41" s="7">
        <v>0</v>
      </c>
      <c r="D41" s="7">
        <v>-1</v>
      </c>
      <c r="E41" s="7">
        <v>0</v>
      </c>
      <c r="F41" s="7">
        <v>0</v>
      </c>
      <c r="G41" s="7">
        <v>0</v>
      </c>
      <c r="H41" s="7"/>
      <c r="I41" s="7"/>
      <c r="J41" s="7"/>
      <c r="K41" s="7"/>
      <c r="L41" s="7"/>
    </row>
    <row r="42" spans="2:12" x14ac:dyDescent="0.3">
      <c r="B42" s="1" t="s">
        <v>38</v>
      </c>
      <c r="C42" s="13">
        <f>SUM(C38:C41)</f>
        <v>-1</v>
      </c>
      <c r="D42" s="13">
        <f t="shared" ref="D42:L42" si="10">SUM(D38:D41)</f>
        <v>4</v>
      </c>
      <c r="E42" s="13">
        <f t="shared" si="10"/>
        <v>2</v>
      </c>
      <c r="F42" s="13">
        <f t="shared" si="10"/>
        <v>2</v>
      </c>
      <c r="G42" s="13">
        <v>0</v>
      </c>
      <c r="H42" s="13">
        <f t="shared" si="10"/>
        <v>0</v>
      </c>
      <c r="I42" s="13">
        <f t="shared" si="10"/>
        <v>0</v>
      </c>
      <c r="J42" s="13">
        <f t="shared" si="10"/>
        <v>0</v>
      </c>
      <c r="K42" s="13">
        <f t="shared" si="10"/>
        <v>0</v>
      </c>
      <c r="L42" s="13">
        <f t="shared" si="10"/>
        <v>0</v>
      </c>
    </row>
    <row r="43" spans="2:12" x14ac:dyDescent="0.3">
      <c r="B43" s="1" t="s">
        <v>40</v>
      </c>
      <c r="C43" s="7"/>
      <c r="D43" s="7"/>
      <c r="E43" s="7"/>
      <c r="F43" s="7"/>
      <c r="G43" s="7"/>
      <c r="H43" s="7"/>
      <c r="I43" s="7"/>
      <c r="J43" s="7"/>
      <c r="K43" s="7"/>
      <c r="L43" s="7"/>
    </row>
    <row r="44" spans="2:12" x14ac:dyDescent="0.3">
      <c r="B44" t="s">
        <v>41</v>
      </c>
      <c r="C44" s="7">
        <v>5</v>
      </c>
      <c r="D44" s="7">
        <v>30</v>
      </c>
      <c r="E44" s="7">
        <v>-34</v>
      </c>
      <c r="F44" s="7">
        <v>-75</v>
      </c>
      <c r="G44" s="7">
        <v>-75</v>
      </c>
      <c r="H44" s="7"/>
      <c r="I44" s="7"/>
      <c r="J44" s="7"/>
      <c r="K44" s="7"/>
      <c r="L44" s="7"/>
    </row>
    <row r="45" spans="2:12" x14ac:dyDescent="0.3">
      <c r="B45" t="s">
        <v>42</v>
      </c>
      <c r="C45" s="7">
        <v>1</v>
      </c>
      <c r="D45" s="7">
        <v>1</v>
      </c>
      <c r="E45" s="7">
        <v>0</v>
      </c>
      <c r="F45" s="7">
        <v>0</v>
      </c>
      <c r="G45" s="7">
        <v>1</v>
      </c>
      <c r="H45" s="7"/>
      <c r="I45" s="7"/>
      <c r="J45" s="7"/>
      <c r="K45" s="7"/>
      <c r="L45" s="7"/>
    </row>
    <row r="46" spans="2:12" ht="28.8" x14ac:dyDescent="0.3">
      <c r="B46" s="6" t="s">
        <v>43</v>
      </c>
      <c r="C46" s="7"/>
      <c r="D46" s="7"/>
      <c r="E46" s="7"/>
      <c r="F46" s="7"/>
      <c r="G46" s="7"/>
      <c r="H46" s="7"/>
      <c r="I46" s="7"/>
      <c r="J46" s="7"/>
      <c r="K46" s="7"/>
      <c r="L46" s="7"/>
    </row>
    <row r="47" spans="2:12" x14ac:dyDescent="0.3">
      <c r="B47" t="s">
        <v>42</v>
      </c>
      <c r="C47" s="7">
        <v>0</v>
      </c>
      <c r="D47" s="7">
        <v>0</v>
      </c>
      <c r="E47" s="7">
        <v>0</v>
      </c>
      <c r="F47" s="7">
        <v>0</v>
      </c>
      <c r="G47" s="7">
        <v>0</v>
      </c>
      <c r="H47" s="7"/>
      <c r="I47" s="7"/>
      <c r="J47" s="7"/>
      <c r="K47" s="7"/>
      <c r="L47" s="7"/>
    </row>
    <row r="48" spans="2:12" x14ac:dyDescent="0.3">
      <c r="B48" s="1" t="s">
        <v>38</v>
      </c>
      <c r="C48" s="13">
        <f>SUM(C43:C47)</f>
        <v>6</v>
      </c>
      <c r="D48" s="13">
        <f t="shared" ref="D48:L48" si="11">SUM(D43:D47)</f>
        <v>31</v>
      </c>
      <c r="E48" s="13">
        <f t="shared" si="11"/>
        <v>-34</v>
      </c>
      <c r="F48" s="13">
        <f>SUM(F43:F47)</f>
        <v>-75</v>
      </c>
      <c r="G48" s="13">
        <f>SUM(G43:G47)</f>
        <v>-74</v>
      </c>
      <c r="H48" s="13">
        <f t="shared" si="11"/>
        <v>0</v>
      </c>
      <c r="I48" s="13">
        <f t="shared" si="11"/>
        <v>0</v>
      </c>
      <c r="J48" s="13">
        <f t="shared" si="11"/>
        <v>0</v>
      </c>
      <c r="K48" s="13">
        <f t="shared" si="11"/>
        <v>0</v>
      </c>
      <c r="L48" s="13">
        <f t="shared" si="11"/>
        <v>0</v>
      </c>
    </row>
    <row r="49" spans="2:12" x14ac:dyDescent="0.3">
      <c r="C49" s="7"/>
      <c r="D49" s="7"/>
      <c r="E49" s="7"/>
      <c r="F49" s="7"/>
      <c r="G49" s="7"/>
      <c r="H49" s="7"/>
      <c r="I49" s="7"/>
      <c r="J49" s="7"/>
      <c r="K49" s="7"/>
      <c r="L49" s="7"/>
    </row>
    <row r="50" spans="2:12" x14ac:dyDescent="0.3">
      <c r="B50" s="1" t="s">
        <v>45</v>
      </c>
      <c r="C50" s="12">
        <f>SUM(C42,C48)</f>
        <v>5</v>
      </c>
      <c r="D50" s="12">
        <f t="shared" ref="D50:L50" si="12">SUM(D42,D48)</f>
        <v>35</v>
      </c>
      <c r="E50" s="12">
        <f t="shared" si="12"/>
        <v>-32</v>
      </c>
      <c r="F50" s="12">
        <f t="shared" si="12"/>
        <v>-73</v>
      </c>
      <c r="G50" s="12">
        <f t="shared" si="12"/>
        <v>-74</v>
      </c>
      <c r="H50" s="12">
        <f t="shared" si="12"/>
        <v>0</v>
      </c>
      <c r="I50" s="12">
        <f t="shared" si="12"/>
        <v>0</v>
      </c>
      <c r="J50" s="12">
        <f t="shared" si="12"/>
        <v>0</v>
      </c>
      <c r="K50" s="12">
        <f t="shared" si="12"/>
        <v>0</v>
      </c>
      <c r="L50" s="12">
        <f t="shared" si="12"/>
        <v>0</v>
      </c>
    </row>
    <row r="51" spans="2:12" x14ac:dyDescent="0.3">
      <c r="C51" s="7"/>
      <c r="D51" s="7"/>
      <c r="E51" s="7"/>
      <c r="F51" s="7"/>
      <c r="G51" s="7"/>
      <c r="H51" s="7"/>
      <c r="I51" s="7"/>
      <c r="J51" s="7"/>
      <c r="K51" s="7"/>
      <c r="L51" s="7"/>
    </row>
    <row r="52" spans="2:12" x14ac:dyDescent="0.3">
      <c r="B52" s="5" t="s">
        <v>46</v>
      </c>
      <c r="C52" s="17">
        <f>C36+C50</f>
        <v>1204</v>
      </c>
      <c r="D52" s="17">
        <f t="shared" ref="D52:L52" si="13">D36+D50</f>
        <v>1290</v>
      </c>
      <c r="E52" s="17">
        <f t="shared" si="13"/>
        <v>1290</v>
      </c>
      <c r="F52" s="17">
        <f t="shared" si="13"/>
        <v>1429</v>
      </c>
      <c r="G52" s="17">
        <f t="shared" si="13"/>
        <v>1376</v>
      </c>
      <c r="H52" s="17">
        <f t="shared" si="13"/>
        <v>1476.4471346003538</v>
      </c>
      <c r="I52" s="17">
        <f t="shared" si="13"/>
        <v>1715.4808259576785</v>
      </c>
      <c r="J52" s="17">
        <f t="shared" si="13"/>
        <v>2105.5859479607075</v>
      </c>
      <c r="K52" s="17">
        <f t="shared" si="13"/>
        <v>2592.8463463034955</v>
      </c>
      <c r="L52" s="17">
        <f t="shared" si="13"/>
        <v>3045.3381465422808</v>
      </c>
    </row>
    <row r="53" spans="2:12" x14ac:dyDescent="0.3">
      <c r="B53" s="1" t="s">
        <v>47</v>
      </c>
      <c r="C53" s="7"/>
      <c r="D53" s="7"/>
      <c r="E53" s="7"/>
      <c r="F53" s="7"/>
      <c r="G53" s="7"/>
      <c r="H53" s="7"/>
      <c r="I53" s="7"/>
      <c r="J53" s="7"/>
      <c r="K53" s="7"/>
      <c r="L53" s="7"/>
    </row>
    <row r="54" spans="2:12" x14ac:dyDescent="0.3">
      <c r="B54" t="s">
        <v>48</v>
      </c>
      <c r="C54" s="7">
        <v>1172</v>
      </c>
      <c r="D54" s="7">
        <v>1225</v>
      </c>
      <c r="E54" s="7">
        <v>1302</v>
      </c>
      <c r="F54" s="7">
        <v>1481</v>
      </c>
      <c r="G54" s="7">
        <v>1629</v>
      </c>
      <c r="H54" s="7"/>
      <c r="I54" s="7"/>
      <c r="J54" s="7"/>
      <c r="K54" s="7"/>
      <c r="L54" s="7"/>
    </row>
    <row r="55" spans="2:12" x14ac:dyDescent="0.3">
      <c r="B55" t="s">
        <v>49</v>
      </c>
      <c r="C55" s="7">
        <v>27</v>
      </c>
      <c r="D55" s="7">
        <v>30</v>
      </c>
      <c r="E55" s="7">
        <v>20</v>
      </c>
      <c r="F55" s="7">
        <v>21</v>
      </c>
      <c r="G55" s="7">
        <v>29</v>
      </c>
      <c r="H55" s="7"/>
      <c r="I55" s="7"/>
      <c r="J55" s="7"/>
      <c r="K55" s="7"/>
      <c r="L55" s="7"/>
    </row>
    <row r="56" spans="2:12" x14ac:dyDescent="0.3">
      <c r="C56" s="13">
        <f>SUM(C54:C55)</f>
        <v>1199</v>
      </c>
      <c r="D56" s="13">
        <f t="shared" ref="D56:L56" si="14">SUM(D54:D55)</f>
        <v>1255</v>
      </c>
      <c r="E56" s="13">
        <f t="shared" si="14"/>
        <v>1322</v>
      </c>
      <c r="F56" s="13">
        <f t="shared" si="14"/>
        <v>1502</v>
      </c>
      <c r="G56" s="13">
        <f t="shared" si="14"/>
        <v>1658</v>
      </c>
      <c r="H56" s="13">
        <f t="shared" si="14"/>
        <v>0</v>
      </c>
      <c r="I56" s="13">
        <f t="shared" si="14"/>
        <v>0</v>
      </c>
      <c r="J56" s="13">
        <f t="shared" si="14"/>
        <v>0</v>
      </c>
      <c r="K56" s="13">
        <f t="shared" si="14"/>
        <v>0</v>
      </c>
      <c r="L56" s="13">
        <f t="shared" si="14"/>
        <v>0</v>
      </c>
    </row>
    <row r="57" spans="2:12" x14ac:dyDescent="0.3">
      <c r="C57" s="7"/>
      <c r="D57" s="7"/>
      <c r="E57" s="7"/>
      <c r="F57" s="7"/>
      <c r="G57" s="7"/>
      <c r="H57" s="7"/>
      <c r="I57" s="7"/>
      <c r="J57" s="7"/>
      <c r="K57" s="7"/>
      <c r="L57" s="7"/>
    </row>
    <row r="58" spans="2:12" x14ac:dyDescent="0.3">
      <c r="B58" s="1" t="s">
        <v>50</v>
      </c>
      <c r="C58" s="7"/>
      <c r="D58" s="7"/>
      <c r="E58" s="7"/>
      <c r="F58" s="7"/>
      <c r="G58" s="7"/>
      <c r="H58" s="7"/>
      <c r="I58" s="7"/>
      <c r="J58" s="7"/>
      <c r="K58" s="7"/>
      <c r="L58" s="7"/>
    </row>
    <row r="59" spans="2:12" x14ac:dyDescent="0.3">
      <c r="B59" t="s">
        <v>48</v>
      </c>
      <c r="C59" s="7">
        <v>5</v>
      </c>
      <c r="D59" s="7">
        <v>35</v>
      </c>
      <c r="E59" s="7">
        <v>-32</v>
      </c>
      <c r="F59" s="7">
        <v>-72</v>
      </c>
      <c r="G59" s="7">
        <v>-69</v>
      </c>
      <c r="H59" s="7"/>
      <c r="I59" s="7"/>
      <c r="J59" s="7"/>
      <c r="K59" s="7"/>
      <c r="L59" s="7"/>
    </row>
    <row r="60" spans="2:12" x14ac:dyDescent="0.3">
      <c r="B60" t="s">
        <v>49</v>
      </c>
      <c r="C60" s="7">
        <v>0</v>
      </c>
      <c r="D60" s="7">
        <v>0</v>
      </c>
      <c r="E60" s="7">
        <v>0</v>
      </c>
      <c r="F60" s="7">
        <v>-1</v>
      </c>
      <c r="G60" s="7">
        <v>-5</v>
      </c>
      <c r="H60" s="7"/>
      <c r="I60" s="7"/>
      <c r="J60" s="7"/>
      <c r="K60" s="7"/>
      <c r="L60" s="7"/>
    </row>
    <row r="61" spans="2:12" x14ac:dyDescent="0.3">
      <c r="C61" s="13">
        <f>SUM(C59:C60)</f>
        <v>5</v>
      </c>
      <c r="D61" s="13">
        <f t="shared" ref="D61:L61" si="15">SUM(D59:D60)</f>
        <v>35</v>
      </c>
      <c r="E61" s="13">
        <f t="shared" si="15"/>
        <v>-32</v>
      </c>
      <c r="F61" s="13">
        <f t="shared" si="15"/>
        <v>-73</v>
      </c>
      <c r="G61" s="13">
        <f t="shared" si="15"/>
        <v>-74</v>
      </c>
      <c r="H61" s="13">
        <f t="shared" si="15"/>
        <v>0</v>
      </c>
      <c r="I61" s="13">
        <f t="shared" si="15"/>
        <v>0</v>
      </c>
      <c r="J61" s="13">
        <f t="shared" si="15"/>
        <v>0</v>
      </c>
      <c r="K61" s="13">
        <f t="shared" si="15"/>
        <v>0</v>
      </c>
      <c r="L61" s="13">
        <f t="shared" si="15"/>
        <v>0</v>
      </c>
    </row>
    <row r="62" spans="2:12" x14ac:dyDescent="0.3">
      <c r="C62" s="7"/>
      <c r="D62" s="7"/>
      <c r="E62" s="7"/>
      <c r="F62" s="7"/>
      <c r="G62" s="7"/>
      <c r="H62" s="7"/>
      <c r="I62" s="7"/>
      <c r="J62" s="7"/>
      <c r="K62" s="7"/>
      <c r="L62" s="7"/>
    </row>
    <row r="63" spans="2:12" x14ac:dyDescent="0.3">
      <c r="B63" s="1" t="s">
        <v>51</v>
      </c>
      <c r="C63" s="7"/>
      <c r="D63" s="7"/>
      <c r="E63" s="7"/>
      <c r="F63" s="7"/>
      <c r="G63" s="7"/>
      <c r="H63" s="7"/>
      <c r="I63" s="7"/>
      <c r="J63" s="7"/>
      <c r="K63" s="7"/>
      <c r="L63" s="7"/>
    </row>
    <row r="64" spans="2:12" x14ac:dyDescent="0.3">
      <c r="B64" t="s">
        <v>52</v>
      </c>
      <c r="C64" s="7">
        <v>1177</v>
      </c>
      <c r="D64" s="7">
        <v>1260</v>
      </c>
      <c r="E64" s="7">
        <v>1270</v>
      </c>
      <c r="F64" s="7">
        <v>1409</v>
      </c>
      <c r="G64" s="7">
        <v>1560</v>
      </c>
      <c r="H64" s="7"/>
      <c r="I64" s="7"/>
      <c r="J64" s="7"/>
      <c r="K64" s="7"/>
      <c r="L64" s="7"/>
    </row>
    <row r="65" spans="2:12" x14ac:dyDescent="0.3">
      <c r="B65" t="s">
        <v>53</v>
      </c>
      <c r="C65" s="7">
        <v>27</v>
      </c>
      <c r="D65" s="7">
        <v>30</v>
      </c>
      <c r="E65" s="7">
        <v>20</v>
      </c>
      <c r="F65" s="7">
        <v>20</v>
      </c>
      <c r="G65" s="7">
        <v>24</v>
      </c>
      <c r="H65" s="7"/>
      <c r="I65" s="7"/>
      <c r="J65" s="7"/>
      <c r="K65" s="7"/>
      <c r="L65" s="7"/>
    </row>
    <row r="66" spans="2:12" ht="15" thickBot="1" x14ac:dyDescent="0.35">
      <c r="C66" s="16">
        <f>SUM(C64:C65)</f>
        <v>1204</v>
      </c>
      <c r="D66" s="16">
        <f t="shared" ref="D66:L66" si="16">SUM(D64:D65)</f>
        <v>1290</v>
      </c>
      <c r="E66" s="16">
        <f t="shared" si="16"/>
        <v>1290</v>
      </c>
      <c r="F66" s="16">
        <f t="shared" si="16"/>
        <v>1429</v>
      </c>
      <c r="G66" s="16">
        <f t="shared" si="16"/>
        <v>1584</v>
      </c>
      <c r="H66" s="16">
        <f t="shared" si="16"/>
        <v>0</v>
      </c>
      <c r="I66" s="16">
        <f t="shared" si="16"/>
        <v>0</v>
      </c>
      <c r="J66" s="16">
        <f t="shared" si="16"/>
        <v>0</v>
      </c>
      <c r="K66" s="16">
        <f t="shared" si="16"/>
        <v>0</v>
      </c>
      <c r="L66" s="16">
        <f t="shared" si="16"/>
        <v>0</v>
      </c>
    </row>
    <row r="67" spans="2:12" ht="15" thickTop="1" x14ac:dyDescent="0.3">
      <c r="C67" s="7"/>
      <c r="D67" s="7"/>
      <c r="E67" s="7"/>
      <c r="F67" s="7"/>
      <c r="G67" s="7"/>
      <c r="H67" s="7"/>
      <c r="I67" s="7"/>
      <c r="J67" s="7"/>
      <c r="K67" s="7"/>
      <c r="L67" s="7"/>
    </row>
    <row r="68" spans="2:12" x14ac:dyDescent="0.3">
      <c r="C68" s="7"/>
      <c r="D68" s="7"/>
      <c r="E68" s="7"/>
      <c r="F68" s="7"/>
      <c r="G68" s="7"/>
      <c r="H68" s="7"/>
      <c r="I68" s="7"/>
      <c r="J68" s="7"/>
      <c r="K68" s="7"/>
      <c r="L68" s="7"/>
    </row>
    <row r="69" spans="2:12" ht="28.8" x14ac:dyDescent="0.3">
      <c r="B69" s="6" t="s">
        <v>54</v>
      </c>
      <c r="C69" s="12"/>
      <c r="D69" s="12"/>
      <c r="E69" s="12"/>
      <c r="F69" s="12"/>
      <c r="G69" s="12"/>
      <c r="H69" s="12"/>
      <c r="I69" s="12"/>
      <c r="J69" s="12"/>
      <c r="K69" s="12"/>
      <c r="L69" s="12"/>
    </row>
    <row r="70" spans="2:12" x14ac:dyDescent="0.3">
      <c r="B70" s="1" t="s">
        <v>55</v>
      </c>
      <c r="C70" s="12">
        <v>9.08</v>
      </c>
      <c r="D70" s="12">
        <v>9.5</v>
      </c>
      <c r="E70" s="12">
        <v>10.8</v>
      </c>
      <c r="F70" s="12">
        <v>11.46</v>
      </c>
      <c r="G70" s="12">
        <v>12.59</v>
      </c>
      <c r="H70" s="12"/>
      <c r="I70" s="12"/>
      <c r="J70" s="12"/>
      <c r="K70" s="12"/>
      <c r="L70" s="12"/>
    </row>
    <row r="71" spans="2:12" x14ac:dyDescent="0.3">
      <c r="B71" s="1" t="s">
        <v>56</v>
      </c>
      <c r="C71" s="12">
        <v>9.08</v>
      </c>
      <c r="D71" s="12">
        <v>9.49</v>
      </c>
      <c r="E71" s="12">
        <v>10.050000000000001</v>
      </c>
      <c r="F71" s="12">
        <v>11.43</v>
      </c>
      <c r="G71" s="12">
        <v>12.56</v>
      </c>
      <c r="H71" s="12"/>
      <c r="I71" s="12"/>
      <c r="J71" s="12"/>
      <c r="K71" s="12"/>
      <c r="L71" s="12"/>
    </row>
    <row r="72" spans="2:12" x14ac:dyDescent="0.3">
      <c r="C72" s="7"/>
      <c r="D72" s="7"/>
      <c r="E72" s="7"/>
      <c r="F72" s="7"/>
      <c r="G72" s="7"/>
      <c r="H72" s="7"/>
      <c r="I72" s="7"/>
      <c r="J72" s="7"/>
      <c r="K72" s="7"/>
      <c r="L72" s="7"/>
    </row>
    <row r="73" spans="2:12" x14ac:dyDescent="0.3">
      <c r="C73" s="7"/>
      <c r="D73" s="7"/>
      <c r="E73" s="7"/>
      <c r="F73" s="7"/>
      <c r="G73" s="7"/>
      <c r="H73" s="7"/>
      <c r="I73" s="7"/>
      <c r="J73" s="7"/>
      <c r="K73" s="7"/>
      <c r="L73" s="7"/>
    </row>
  </sheetData>
  <mergeCells count="12">
    <mergeCell ref="I10:I11"/>
    <mergeCell ref="J10:J11"/>
    <mergeCell ref="K10:K11"/>
    <mergeCell ref="L10:L11"/>
    <mergeCell ref="B10:B11"/>
    <mergeCell ref="E2:H5"/>
    <mergeCell ref="C10:C11"/>
    <mergeCell ref="D10:D11"/>
    <mergeCell ref="E10:E11"/>
    <mergeCell ref="F10:F11"/>
    <mergeCell ref="G10:G11"/>
    <mergeCell ref="H10:H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75F87-1F50-4B2F-A9ED-B47FD44AC09D}">
  <dimension ref="B2:M152"/>
  <sheetViews>
    <sheetView showGridLines="0" zoomScale="55" zoomScaleNormal="98" workbookViewId="0">
      <selection activeCell="M38" sqref="M38"/>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5" bestFit="1"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5" t="s">
        <v>82</v>
      </c>
      <c r="C12" s="5"/>
      <c r="D12" s="5"/>
      <c r="E12" s="5"/>
      <c r="F12" s="5"/>
      <c r="G12" s="5"/>
      <c r="H12" s="5"/>
      <c r="I12" s="5"/>
      <c r="J12" s="5"/>
      <c r="K12" s="5"/>
      <c r="L12" s="5"/>
    </row>
    <row r="13" spans="2:12" x14ac:dyDescent="0.3">
      <c r="B13" s="2"/>
    </row>
    <row r="14" spans="2:12" x14ac:dyDescent="0.3">
      <c r="B14" s="2" t="s">
        <v>57</v>
      </c>
    </row>
    <row r="15" spans="2:12" x14ac:dyDescent="0.3">
      <c r="B15" s="1"/>
    </row>
    <row r="16" spans="2:12" x14ac:dyDescent="0.3">
      <c r="B16" t="s">
        <v>58</v>
      </c>
      <c r="C16" s="7">
        <v>572</v>
      </c>
      <c r="D16" s="7">
        <v>600</v>
      </c>
      <c r="E16" s="7">
        <v>633</v>
      </c>
      <c r="F16" s="7">
        <v>700</v>
      </c>
      <c r="G16" s="7">
        <v>710</v>
      </c>
      <c r="H16" s="27">
        <f>'Asset Schedule'!H46</f>
        <v>852.07699681660199</v>
      </c>
      <c r="I16" s="27">
        <f>'Asset Schedule'!I46</f>
        <v>852.56334166154193</v>
      </c>
      <c r="J16" s="27">
        <f>'Asset Schedule'!J46</f>
        <v>888.83882278278202</v>
      </c>
      <c r="K16" s="27">
        <f>'Asset Schedule'!K46</f>
        <v>964.04806797849108</v>
      </c>
      <c r="L16" s="27">
        <f>'Asset Schedule'!L46</f>
        <v>1080.6629478068278</v>
      </c>
    </row>
    <row r="17" spans="2:12" x14ac:dyDescent="0.3">
      <c r="B17" t="s">
        <v>59</v>
      </c>
      <c r="C17" s="7">
        <v>24</v>
      </c>
      <c r="D17" s="7">
        <v>39</v>
      </c>
      <c r="E17" s="7">
        <v>67</v>
      </c>
      <c r="F17" s="7">
        <v>44</v>
      </c>
      <c r="G17" s="7">
        <v>40</v>
      </c>
      <c r="H17" s="27">
        <f>'Asset Schedule'!H47</f>
        <v>55.755391515878642</v>
      </c>
      <c r="I17" s="27">
        <f>'Asset Schedule'!I47</f>
        <v>55.787215338541003</v>
      </c>
      <c r="J17" s="27">
        <f>'Asset Schedule'!J47</f>
        <v>58.16089008847316</v>
      </c>
      <c r="K17" s="27">
        <f>'Asset Schedule'!K47</f>
        <v>63.08218350111887</v>
      </c>
      <c r="L17" s="27">
        <f>'Asset Schedule'!L47</f>
        <v>70.71284165255058</v>
      </c>
    </row>
    <row r="18" spans="2:12" x14ac:dyDescent="0.3">
      <c r="B18" t="s">
        <v>60</v>
      </c>
      <c r="C18" s="7">
        <v>180</v>
      </c>
      <c r="D18" s="7">
        <v>178</v>
      </c>
      <c r="E18" s="7">
        <v>175</v>
      </c>
      <c r="F18" s="7">
        <v>209</v>
      </c>
      <c r="G18" s="7">
        <v>230</v>
      </c>
      <c r="H18" s="27">
        <f>'Asset Schedule'!H48</f>
        <v>257.29841875217784</v>
      </c>
      <c r="I18" s="27">
        <f>'Asset Schedule'!I48</f>
        <v>257.4452784374397</v>
      </c>
      <c r="J18" s="27">
        <f>'Asset Schedule'!J48</f>
        <v>268.39924617373623</v>
      </c>
      <c r="K18" s="27">
        <f>'Asset Schedule'!K48</f>
        <v>291.10989314190675</v>
      </c>
      <c r="L18" s="27">
        <f>'Asset Schedule'!L48</f>
        <v>326.32364060241281</v>
      </c>
    </row>
    <row r="19" spans="2:12" x14ac:dyDescent="0.3">
      <c r="B19" t="s">
        <v>61</v>
      </c>
      <c r="C19" s="7">
        <v>17</v>
      </c>
      <c r="D19" s="7">
        <v>22</v>
      </c>
      <c r="E19" s="7">
        <v>16</v>
      </c>
      <c r="F19" s="7">
        <v>15</v>
      </c>
      <c r="G19" s="7">
        <v>15</v>
      </c>
      <c r="H19" s="27">
        <f>'Asset Schedule'!H49</f>
        <v>23.626039547980149</v>
      </c>
      <c r="I19" s="27">
        <f>'Asset Schedule'!I49</f>
        <v>23.639524717258791</v>
      </c>
      <c r="J19" s="27">
        <f>'Asset Schedule'!J49</f>
        <v>24.645356296792549</v>
      </c>
      <c r="K19" s="27">
        <f>'Asset Schedule'!K49</f>
        <v>26.730727229238941</v>
      </c>
      <c r="L19" s="27">
        <f>'Asset Schedule'!L49</f>
        <v>29.964176521967875</v>
      </c>
    </row>
    <row r="20" spans="2:12" x14ac:dyDescent="0.3">
      <c r="B20" t="s">
        <v>62</v>
      </c>
      <c r="C20" s="7">
        <v>613</v>
      </c>
      <c r="D20" s="7">
        <v>654</v>
      </c>
      <c r="E20" s="7">
        <v>862</v>
      </c>
      <c r="F20" s="7">
        <v>863</v>
      </c>
      <c r="G20" s="7">
        <v>857</v>
      </c>
      <c r="H20" s="26">
        <f>G20</f>
        <v>857</v>
      </c>
      <c r="I20" s="26">
        <f>H20</f>
        <v>857</v>
      </c>
      <c r="J20" s="26">
        <f>I20</f>
        <v>857</v>
      </c>
      <c r="K20" s="26">
        <f>J20</f>
        <v>857</v>
      </c>
      <c r="L20" s="26">
        <f>K20</f>
        <v>857</v>
      </c>
    </row>
    <row r="21" spans="2:12" x14ac:dyDescent="0.3">
      <c r="B21" t="s">
        <v>63</v>
      </c>
      <c r="C21" s="7">
        <v>230</v>
      </c>
      <c r="D21" s="7">
        <v>306</v>
      </c>
      <c r="E21" s="7">
        <v>560</v>
      </c>
      <c r="F21" s="7">
        <v>937</v>
      </c>
      <c r="G21" s="7">
        <v>946</v>
      </c>
      <c r="H21" s="27">
        <f>'Asset Schedule'!H50</f>
        <v>702.51755850600648</v>
      </c>
      <c r="I21" s="27">
        <f>'Asset Schedule'!I50</f>
        <v>702.91853845774301</v>
      </c>
      <c r="J21" s="27">
        <f>'Asset Schedule'!J50</f>
        <v>732.826824359292</v>
      </c>
      <c r="K21" s="27">
        <f>'Asset Schedule'!K50</f>
        <v>794.83508829478865</v>
      </c>
      <c r="L21" s="27">
        <f>'Asset Schedule'!L50</f>
        <v>890.98132973605061</v>
      </c>
    </row>
    <row r="22" spans="2:12" x14ac:dyDescent="0.3">
      <c r="B22" t="s">
        <v>64</v>
      </c>
      <c r="C22" s="7">
        <v>0</v>
      </c>
      <c r="D22" s="7">
        <v>0</v>
      </c>
      <c r="E22" s="7">
        <v>0</v>
      </c>
      <c r="F22" s="7">
        <v>0</v>
      </c>
      <c r="G22" s="7">
        <v>0</v>
      </c>
      <c r="H22" s="7">
        <v>0</v>
      </c>
      <c r="I22" s="7">
        <v>0</v>
      </c>
      <c r="J22" s="7">
        <v>0</v>
      </c>
      <c r="K22" s="7">
        <v>0</v>
      </c>
      <c r="L22" s="7">
        <v>0</v>
      </c>
    </row>
    <row r="23" spans="2:12" x14ac:dyDescent="0.3">
      <c r="B23" s="1" t="s">
        <v>65</v>
      </c>
      <c r="C23" s="7"/>
      <c r="D23" s="7"/>
      <c r="E23" s="7"/>
      <c r="F23" s="7"/>
      <c r="G23" s="7"/>
      <c r="H23" s="7"/>
      <c r="I23" s="7"/>
      <c r="J23" s="7"/>
      <c r="K23" s="7"/>
      <c r="L23" s="7"/>
    </row>
    <row r="24" spans="2:12" x14ac:dyDescent="0.3">
      <c r="B24" t="s">
        <v>66</v>
      </c>
      <c r="C24" s="7">
        <v>226</v>
      </c>
      <c r="D24" s="7">
        <v>187</v>
      </c>
      <c r="E24" s="7">
        <v>518</v>
      </c>
      <c r="F24" s="7">
        <v>343</v>
      </c>
      <c r="G24" s="7">
        <v>215</v>
      </c>
      <c r="H24" s="26">
        <f t="shared" ref="H24:L29" si="0">G24</f>
        <v>215</v>
      </c>
      <c r="I24" s="26">
        <f t="shared" si="0"/>
        <v>215</v>
      </c>
      <c r="J24" s="26">
        <f t="shared" si="0"/>
        <v>215</v>
      </c>
      <c r="K24" s="26">
        <f t="shared" si="0"/>
        <v>215</v>
      </c>
      <c r="L24" s="26">
        <f t="shared" si="0"/>
        <v>215</v>
      </c>
    </row>
    <row r="25" spans="2:12" x14ac:dyDescent="0.3">
      <c r="B25" t="s">
        <v>67</v>
      </c>
      <c r="C25" s="7">
        <v>4</v>
      </c>
      <c r="D25" s="7">
        <v>4</v>
      </c>
      <c r="E25" s="7">
        <v>4</v>
      </c>
      <c r="F25" s="7">
        <v>4</v>
      </c>
      <c r="G25" s="7">
        <v>6</v>
      </c>
      <c r="H25" s="26">
        <f t="shared" si="0"/>
        <v>6</v>
      </c>
      <c r="I25" s="26">
        <f t="shared" si="0"/>
        <v>6</v>
      </c>
      <c r="J25" s="26">
        <f t="shared" si="0"/>
        <v>6</v>
      </c>
      <c r="K25" s="26">
        <f t="shared" si="0"/>
        <v>6</v>
      </c>
      <c r="L25" s="26">
        <f t="shared" si="0"/>
        <v>6</v>
      </c>
    </row>
    <row r="26" spans="2:12" x14ac:dyDescent="0.3">
      <c r="B26" t="s">
        <v>68</v>
      </c>
      <c r="C26" s="7">
        <v>41</v>
      </c>
      <c r="D26" s="7">
        <v>17</v>
      </c>
      <c r="E26" s="7">
        <v>32</v>
      </c>
      <c r="F26" s="7">
        <v>100</v>
      </c>
      <c r="G26" s="7">
        <v>22</v>
      </c>
      <c r="H26" s="26">
        <f t="shared" si="0"/>
        <v>22</v>
      </c>
      <c r="I26" s="26">
        <f t="shared" si="0"/>
        <v>22</v>
      </c>
      <c r="J26" s="26">
        <f t="shared" si="0"/>
        <v>22</v>
      </c>
      <c r="K26" s="26">
        <f t="shared" si="0"/>
        <v>22</v>
      </c>
      <c r="L26" s="26">
        <f t="shared" si="0"/>
        <v>22</v>
      </c>
    </row>
    <row r="27" spans="2:12" x14ac:dyDescent="0.3">
      <c r="B27" t="s">
        <v>69</v>
      </c>
      <c r="C27" s="7">
        <v>186</v>
      </c>
      <c r="D27" s="7">
        <v>187</v>
      </c>
      <c r="E27" s="7">
        <v>146</v>
      </c>
      <c r="F27" s="7">
        <v>68</v>
      </c>
      <c r="G27" s="7">
        <v>57</v>
      </c>
      <c r="H27" s="26">
        <f t="shared" si="0"/>
        <v>57</v>
      </c>
      <c r="I27" s="26">
        <f t="shared" si="0"/>
        <v>57</v>
      </c>
      <c r="J27" s="26">
        <f t="shared" si="0"/>
        <v>57</v>
      </c>
      <c r="K27" s="26">
        <f t="shared" si="0"/>
        <v>57</v>
      </c>
      <c r="L27" s="26">
        <f t="shared" si="0"/>
        <v>57</v>
      </c>
    </row>
    <row r="28" spans="2:12" x14ac:dyDescent="0.3">
      <c r="B28" t="s">
        <v>70</v>
      </c>
      <c r="C28" s="7">
        <v>55</v>
      </c>
      <c r="D28" s="7">
        <v>57</v>
      </c>
      <c r="E28" s="7">
        <v>67</v>
      </c>
      <c r="F28" s="7">
        <v>95</v>
      </c>
      <c r="G28" s="7">
        <v>108</v>
      </c>
      <c r="H28" s="26">
        <f t="shared" si="0"/>
        <v>108</v>
      </c>
      <c r="I28" s="26">
        <f t="shared" si="0"/>
        <v>108</v>
      </c>
      <c r="J28" s="26">
        <f t="shared" si="0"/>
        <v>108</v>
      </c>
      <c r="K28" s="26">
        <f t="shared" si="0"/>
        <v>108</v>
      </c>
      <c r="L28" s="26">
        <f t="shared" si="0"/>
        <v>108</v>
      </c>
    </row>
    <row r="29" spans="2:12" x14ac:dyDescent="0.3">
      <c r="B29" t="s">
        <v>71</v>
      </c>
      <c r="C29" s="7">
        <v>26</v>
      </c>
      <c r="D29" s="7">
        <v>30</v>
      </c>
      <c r="E29" s="7">
        <v>46</v>
      </c>
      <c r="F29" s="7">
        <v>40</v>
      </c>
      <c r="G29" s="7">
        <v>49</v>
      </c>
      <c r="H29" s="26">
        <f t="shared" si="0"/>
        <v>49</v>
      </c>
      <c r="I29" s="26">
        <f t="shared" si="0"/>
        <v>49</v>
      </c>
      <c r="J29" s="26">
        <f t="shared" si="0"/>
        <v>49</v>
      </c>
      <c r="K29" s="26">
        <f t="shared" si="0"/>
        <v>49</v>
      </c>
      <c r="L29" s="26">
        <f t="shared" si="0"/>
        <v>49</v>
      </c>
    </row>
    <row r="30" spans="2:12" x14ac:dyDescent="0.3">
      <c r="B30" s="19" t="s">
        <v>72</v>
      </c>
      <c r="C30" s="20">
        <f t="shared" ref="C30:L30" si="1">SUM(C16:C29)</f>
        <v>2174</v>
      </c>
      <c r="D30" s="20">
        <f t="shared" si="1"/>
        <v>2281</v>
      </c>
      <c r="E30" s="20">
        <f t="shared" si="1"/>
        <v>3126</v>
      </c>
      <c r="F30" s="20">
        <f t="shared" si="1"/>
        <v>3418</v>
      </c>
      <c r="G30" s="20">
        <f t="shared" si="1"/>
        <v>3255</v>
      </c>
      <c r="H30" s="20">
        <f t="shared" si="1"/>
        <v>3205.2744051386453</v>
      </c>
      <c r="I30" s="20">
        <f t="shared" si="1"/>
        <v>3206.3538986125245</v>
      </c>
      <c r="J30" s="20">
        <f t="shared" si="1"/>
        <v>3286.8711397010757</v>
      </c>
      <c r="K30" s="20">
        <f t="shared" si="1"/>
        <v>3453.8059601455443</v>
      </c>
      <c r="L30" s="20">
        <f t="shared" si="1"/>
        <v>3712.6449363198099</v>
      </c>
    </row>
    <row r="31" spans="2:12" x14ac:dyDescent="0.3">
      <c r="C31" s="7"/>
      <c r="D31" s="7"/>
      <c r="E31" s="7"/>
      <c r="F31" s="7"/>
      <c r="G31" s="7"/>
      <c r="H31" s="7"/>
      <c r="I31" s="7"/>
      <c r="J31" s="7"/>
      <c r="K31" s="7"/>
      <c r="L31" s="7"/>
    </row>
    <row r="32" spans="2:12" x14ac:dyDescent="0.3">
      <c r="B32" s="2" t="s">
        <v>73</v>
      </c>
      <c r="C32" s="7"/>
      <c r="D32" s="7"/>
      <c r="E32" s="7"/>
      <c r="F32" s="7"/>
      <c r="G32" s="7"/>
      <c r="H32" s="7"/>
      <c r="I32" s="7"/>
      <c r="J32" s="7"/>
      <c r="K32" s="7"/>
      <c r="L32" s="7"/>
    </row>
    <row r="33" spans="2:13" x14ac:dyDescent="0.3">
      <c r="C33" s="7"/>
      <c r="D33" s="7"/>
      <c r="E33" s="7"/>
      <c r="F33" s="7"/>
      <c r="G33" s="7"/>
      <c r="H33" s="7"/>
      <c r="I33" s="7"/>
      <c r="J33" s="7"/>
      <c r="K33" s="7"/>
      <c r="L33" s="7"/>
    </row>
    <row r="34" spans="2:13" x14ac:dyDescent="0.3">
      <c r="B34" t="s">
        <v>74</v>
      </c>
      <c r="C34" s="7">
        <v>1126</v>
      </c>
      <c r="D34" s="7">
        <v>1412</v>
      </c>
      <c r="E34" s="7">
        <v>1225</v>
      </c>
      <c r="F34" s="7">
        <v>1336</v>
      </c>
      <c r="G34" s="7">
        <v>1235</v>
      </c>
      <c r="H34" s="27">
        <f>'Working Capital Schedule'!H15</f>
        <v>1959.3165917501115</v>
      </c>
      <c r="I34" s="27">
        <f>'Working Capital Schedule'!I15</f>
        <v>1754.0159580253967</v>
      </c>
      <c r="J34" s="27">
        <f>'Working Capital Schedule'!J15</f>
        <v>2504.530814174218</v>
      </c>
      <c r="K34" s="27">
        <f>'Working Capital Schedule'!K15</f>
        <v>2371.2829991681438</v>
      </c>
      <c r="L34" s="27">
        <f>'Working Capital Schedule'!L15</f>
        <v>3557.3124707065099</v>
      </c>
    </row>
    <row r="35" spans="2:13" x14ac:dyDescent="0.3">
      <c r="B35" s="1" t="s">
        <v>75</v>
      </c>
      <c r="C35" s="7"/>
      <c r="D35" s="7"/>
      <c r="E35" s="7"/>
      <c r="F35" s="7"/>
      <c r="G35" s="7"/>
      <c r="H35" s="7"/>
      <c r="I35" s="7"/>
      <c r="J35" s="7"/>
      <c r="K35" s="7"/>
      <c r="L35" s="7"/>
    </row>
    <row r="36" spans="2:13" x14ac:dyDescent="0.3">
      <c r="B36" t="s">
        <v>66</v>
      </c>
      <c r="C36" s="7">
        <v>628</v>
      </c>
      <c r="D36" s="7">
        <v>641</v>
      </c>
      <c r="E36" s="7">
        <v>578</v>
      </c>
      <c r="F36" s="7">
        <v>259</v>
      </c>
      <c r="G36" s="7">
        <v>1375</v>
      </c>
      <c r="H36" s="26">
        <f>G36</f>
        <v>1375</v>
      </c>
      <c r="I36" s="26">
        <f>H36</f>
        <v>1375</v>
      </c>
      <c r="J36" s="26">
        <f>I36</f>
        <v>1375</v>
      </c>
      <c r="K36" s="26">
        <f>J36</f>
        <v>1375</v>
      </c>
      <c r="L36" s="26">
        <f>K36</f>
        <v>1375</v>
      </c>
    </row>
    <row r="37" spans="2:13" x14ac:dyDescent="0.3">
      <c r="B37" t="s">
        <v>76</v>
      </c>
      <c r="C37" s="7">
        <v>388</v>
      </c>
      <c r="D37" s="7">
        <v>652</v>
      </c>
      <c r="E37" s="7">
        <v>1015</v>
      </c>
      <c r="F37" s="7">
        <v>1069</v>
      </c>
      <c r="G37" s="7">
        <v>1271</v>
      </c>
      <c r="H37" s="27">
        <f>'Working Capital Schedule'!H27</f>
        <v>754.21369627442141</v>
      </c>
      <c r="I37" s="27">
        <f>'Working Capital Schedule'!I27</f>
        <v>1907.9980930705362</v>
      </c>
      <c r="J37" s="27">
        <f>'Working Capital Schedule'!J27</f>
        <v>1270.8569085686111</v>
      </c>
      <c r="K37" s="27">
        <f>'Working Capital Schedule'!K27</f>
        <v>2383.1784622342057</v>
      </c>
      <c r="L37" s="27">
        <f>'Working Capital Schedule'!L27</f>
        <v>1857.0864315252038</v>
      </c>
    </row>
    <row r="38" spans="2:13" x14ac:dyDescent="0.3">
      <c r="B38" t="s">
        <v>77</v>
      </c>
      <c r="C38" s="7">
        <f>'Cashflow statement'!C70</f>
        <v>109</v>
      </c>
      <c r="D38" s="7">
        <f>'Cashflow statement'!D70</f>
        <v>276</v>
      </c>
      <c r="E38" s="7">
        <v>207</v>
      </c>
      <c r="F38" s="7">
        <v>228</v>
      </c>
      <c r="G38" s="7">
        <v>321</v>
      </c>
      <c r="H38" s="27">
        <f>'Cashflow statement'!H70</f>
        <v>2148.7800000000002</v>
      </c>
      <c r="I38" s="27">
        <f>'Cashflow statement'!I70</f>
        <v>2994.86</v>
      </c>
      <c r="J38" s="27">
        <f>'Cashflow statement'!J70</f>
        <v>5300.2704860930662</v>
      </c>
      <c r="K38" s="27">
        <f>'Cashflow statement'!K70</f>
        <v>7294.55</v>
      </c>
      <c r="L38" s="27">
        <f>'Cashflow statement'!L70</f>
        <v>6880.29</v>
      </c>
      <c r="M38" s="71"/>
    </row>
    <row r="39" spans="2:13" x14ac:dyDescent="0.3">
      <c r="B39" t="s">
        <v>78</v>
      </c>
      <c r="C39" s="7">
        <v>835</v>
      </c>
      <c r="D39" s="7">
        <v>303</v>
      </c>
      <c r="E39" s="7">
        <v>549</v>
      </c>
      <c r="F39" s="7">
        <v>715</v>
      </c>
      <c r="G39" s="7">
        <v>456</v>
      </c>
      <c r="H39" s="26">
        <f t="shared" ref="H39:I44" si="2">G39</f>
        <v>456</v>
      </c>
      <c r="I39" s="26">
        <f t="shared" si="2"/>
        <v>456</v>
      </c>
      <c r="J39" s="26">
        <f>I39+277.87</f>
        <v>733.87</v>
      </c>
      <c r="K39" s="26">
        <f t="shared" ref="K39:L44" si="3">J39</f>
        <v>733.87</v>
      </c>
      <c r="L39" s="26">
        <f t="shared" si="3"/>
        <v>733.87</v>
      </c>
    </row>
    <row r="40" spans="2:13" x14ac:dyDescent="0.3">
      <c r="B40" t="s">
        <v>158</v>
      </c>
      <c r="C40" s="7">
        <v>6</v>
      </c>
      <c r="D40" s="7">
        <v>5</v>
      </c>
      <c r="E40" s="7">
        <v>4</v>
      </c>
      <c r="F40" s="7">
        <v>6</v>
      </c>
      <c r="G40" s="7">
        <v>7</v>
      </c>
      <c r="H40" s="26">
        <f t="shared" si="2"/>
        <v>7</v>
      </c>
      <c r="I40" s="26">
        <f t="shared" si="2"/>
        <v>7</v>
      </c>
      <c r="J40" s="26">
        <f>I40</f>
        <v>7</v>
      </c>
      <c r="K40" s="26">
        <f t="shared" si="3"/>
        <v>7</v>
      </c>
      <c r="L40" s="26">
        <f t="shared" si="3"/>
        <v>7</v>
      </c>
    </row>
    <row r="41" spans="2:13" x14ac:dyDescent="0.3">
      <c r="B41" t="s">
        <v>79</v>
      </c>
      <c r="C41" s="7">
        <v>5</v>
      </c>
      <c r="D41" s="7">
        <v>2</v>
      </c>
      <c r="E41" s="7">
        <v>4</v>
      </c>
      <c r="F41" s="7">
        <v>5</v>
      </c>
      <c r="G41" s="7">
        <v>3</v>
      </c>
      <c r="H41" s="26">
        <f t="shared" si="2"/>
        <v>3</v>
      </c>
      <c r="I41" s="26">
        <f t="shared" si="2"/>
        <v>3</v>
      </c>
      <c r="J41" s="26">
        <f>I41</f>
        <v>3</v>
      </c>
      <c r="K41" s="26">
        <f t="shared" si="3"/>
        <v>3</v>
      </c>
      <c r="L41" s="26">
        <f t="shared" si="3"/>
        <v>3</v>
      </c>
    </row>
    <row r="42" spans="2:13" x14ac:dyDescent="0.3">
      <c r="B42" t="s">
        <v>106</v>
      </c>
      <c r="C42" s="7">
        <v>1</v>
      </c>
      <c r="D42" s="7">
        <v>1</v>
      </c>
      <c r="E42" s="7">
        <v>2</v>
      </c>
      <c r="F42" s="7">
        <v>2</v>
      </c>
      <c r="G42" s="7">
        <v>2</v>
      </c>
      <c r="H42" s="26">
        <f t="shared" si="2"/>
        <v>2</v>
      </c>
      <c r="I42" s="26">
        <f t="shared" si="2"/>
        <v>2</v>
      </c>
      <c r="J42" s="26">
        <f>I42</f>
        <v>2</v>
      </c>
      <c r="K42" s="26">
        <f t="shared" si="3"/>
        <v>2</v>
      </c>
      <c r="L42" s="26">
        <f t="shared" si="3"/>
        <v>2</v>
      </c>
    </row>
    <row r="43" spans="2:13" x14ac:dyDescent="0.3">
      <c r="B43" t="s">
        <v>107</v>
      </c>
      <c r="C43" s="7">
        <v>224</v>
      </c>
      <c r="D43" s="7">
        <v>213</v>
      </c>
      <c r="E43" s="7">
        <v>229</v>
      </c>
      <c r="F43" s="7">
        <v>378</v>
      </c>
      <c r="G43" s="7">
        <v>413</v>
      </c>
      <c r="H43" s="26">
        <f t="shared" si="2"/>
        <v>413</v>
      </c>
      <c r="I43" s="26">
        <f t="shared" si="2"/>
        <v>413</v>
      </c>
      <c r="J43" s="26">
        <f>I43</f>
        <v>413</v>
      </c>
      <c r="K43" s="26">
        <f t="shared" si="3"/>
        <v>413</v>
      </c>
      <c r="L43" s="26">
        <f t="shared" si="3"/>
        <v>413</v>
      </c>
    </row>
    <row r="44" spans="2:13" x14ac:dyDescent="0.3">
      <c r="B44" t="s">
        <v>108</v>
      </c>
      <c r="C44" s="7">
        <v>14</v>
      </c>
      <c r="D44" s="7">
        <v>0</v>
      </c>
      <c r="E44" s="7">
        <v>7</v>
      </c>
      <c r="F44" s="7">
        <v>5</v>
      </c>
      <c r="G44" s="7">
        <v>0</v>
      </c>
      <c r="H44" s="26">
        <f t="shared" si="2"/>
        <v>0</v>
      </c>
      <c r="I44" s="26">
        <f t="shared" si="2"/>
        <v>0</v>
      </c>
      <c r="J44" s="26">
        <f>I44</f>
        <v>0</v>
      </c>
      <c r="K44" s="26">
        <f t="shared" si="3"/>
        <v>0</v>
      </c>
      <c r="L44" s="26">
        <f t="shared" si="3"/>
        <v>0</v>
      </c>
    </row>
    <row r="45" spans="2:13" x14ac:dyDescent="0.3">
      <c r="B45" s="19" t="s">
        <v>80</v>
      </c>
      <c r="C45" s="20">
        <f t="shared" ref="C45:L45" si="4">SUM(C34:C44)</f>
        <v>3336</v>
      </c>
      <c r="D45" s="20">
        <f t="shared" si="4"/>
        <v>3505</v>
      </c>
      <c r="E45" s="20">
        <f t="shared" si="4"/>
        <v>3820</v>
      </c>
      <c r="F45" s="20">
        <f t="shared" si="4"/>
        <v>4003</v>
      </c>
      <c r="G45" s="20">
        <f t="shared" si="4"/>
        <v>5083</v>
      </c>
      <c r="H45" s="20">
        <f t="shared" si="4"/>
        <v>7118.3102880245333</v>
      </c>
      <c r="I45" s="20">
        <f t="shared" si="4"/>
        <v>8912.8740510959324</v>
      </c>
      <c r="J45" s="20">
        <f t="shared" si="4"/>
        <v>11609.528208835896</v>
      </c>
      <c r="K45" s="20">
        <f t="shared" si="4"/>
        <v>14582.88146140235</v>
      </c>
      <c r="L45" s="20">
        <f t="shared" si="4"/>
        <v>14828.558902231714</v>
      </c>
    </row>
    <row r="46" spans="2:13" x14ac:dyDescent="0.3">
      <c r="C46" s="7"/>
      <c r="D46" s="7"/>
      <c r="E46" s="7"/>
      <c r="F46" s="7"/>
      <c r="G46" s="7"/>
      <c r="H46" s="7"/>
      <c r="I46" s="7"/>
      <c r="J46" s="7"/>
      <c r="K46" s="7"/>
      <c r="L46" s="7"/>
    </row>
    <row r="47" spans="2:13" x14ac:dyDescent="0.3">
      <c r="B47" s="8" t="s">
        <v>81</v>
      </c>
      <c r="C47" s="21">
        <f>SUM(C30,C45)</f>
        <v>5510</v>
      </c>
      <c r="D47" s="21">
        <f>SUM(D30,D45)</f>
        <v>5786</v>
      </c>
      <c r="E47" s="21">
        <f>SUM(E30,E45)</f>
        <v>6946</v>
      </c>
      <c r="F47" s="21">
        <f>SUM(F30,F45)</f>
        <v>7421</v>
      </c>
      <c r="G47" s="21">
        <f>SUM(G30,G45)</f>
        <v>8338</v>
      </c>
      <c r="H47" s="21">
        <f>(SUM(H30,H45))</f>
        <v>10323.584693163179</v>
      </c>
      <c r="I47" s="21">
        <f>SUM(I30,I45)</f>
        <v>12119.227949708456</v>
      </c>
      <c r="J47" s="21">
        <f>SUM(J30,J45)</f>
        <v>14896.399348536972</v>
      </c>
      <c r="K47" s="21">
        <f>SUM(K30,K45)</f>
        <v>18036.687421547897</v>
      </c>
      <c r="L47" s="21">
        <f>SUM(L30,L45)</f>
        <v>18541.203838551526</v>
      </c>
    </row>
    <row r="48" spans="2:13" x14ac:dyDescent="0.3">
      <c r="C48" s="7"/>
      <c r="D48" s="7"/>
      <c r="E48" s="7"/>
      <c r="F48" s="7"/>
      <c r="G48" s="7"/>
      <c r="H48" s="7"/>
      <c r="I48" s="7"/>
      <c r="J48" s="7"/>
      <c r="K48" s="7"/>
      <c r="L48" s="7"/>
    </row>
    <row r="49" spans="2:12" x14ac:dyDescent="0.3">
      <c r="C49" s="7"/>
      <c r="D49" s="7"/>
      <c r="E49" s="7"/>
      <c r="F49" s="7"/>
      <c r="G49" s="7"/>
      <c r="H49" s="7"/>
      <c r="I49" s="7"/>
      <c r="J49" s="7"/>
      <c r="K49" s="7"/>
      <c r="L49" s="7"/>
    </row>
    <row r="50" spans="2:12" x14ac:dyDescent="0.3">
      <c r="B50" s="5" t="s">
        <v>83</v>
      </c>
      <c r="C50" s="73"/>
      <c r="D50" s="73"/>
      <c r="E50" s="73"/>
      <c r="F50" s="73"/>
      <c r="G50" s="73"/>
      <c r="H50" s="73"/>
      <c r="I50" s="73"/>
      <c r="J50" s="73"/>
      <c r="K50" s="73"/>
      <c r="L50" s="73"/>
    </row>
    <row r="51" spans="2:12" x14ac:dyDescent="0.3">
      <c r="C51" s="7"/>
      <c r="D51" s="7"/>
      <c r="E51" s="7"/>
      <c r="F51" s="7"/>
      <c r="G51" s="7"/>
      <c r="H51" s="7"/>
      <c r="I51" s="7"/>
      <c r="J51" s="7"/>
      <c r="K51" s="7"/>
      <c r="L51" s="7"/>
    </row>
    <row r="52" spans="2:12" x14ac:dyDescent="0.3">
      <c r="B52" s="2" t="s">
        <v>84</v>
      </c>
      <c r="C52" s="7"/>
      <c r="D52" s="7"/>
      <c r="E52" s="7"/>
      <c r="F52" s="7"/>
      <c r="G52" s="7"/>
      <c r="H52" s="7"/>
      <c r="I52" s="7"/>
      <c r="J52" s="7"/>
      <c r="K52" s="7"/>
      <c r="L52" s="7"/>
    </row>
    <row r="53" spans="2:12" x14ac:dyDescent="0.3">
      <c r="C53" s="7"/>
      <c r="D53" s="7"/>
      <c r="E53" s="7"/>
      <c r="F53" s="7"/>
      <c r="G53" s="7"/>
      <c r="H53" s="7"/>
      <c r="I53" s="7"/>
      <c r="J53" s="7"/>
      <c r="K53" s="7"/>
      <c r="L53" s="7"/>
    </row>
    <row r="54" spans="2:12" x14ac:dyDescent="0.3">
      <c r="B54" t="s">
        <v>85</v>
      </c>
      <c r="C54" s="7">
        <v>129</v>
      </c>
      <c r="D54" s="7">
        <v>129</v>
      </c>
      <c r="E54" s="7">
        <v>129</v>
      </c>
      <c r="F54" s="7">
        <v>129</v>
      </c>
      <c r="G54" s="7">
        <v>129</v>
      </c>
      <c r="H54" s="26">
        <f>G54</f>
        <v>129</v>
      </c>
      <c r="I54" s="26">
        <f>H54</f>
        <v>129</v>
      </c>
      <c r="J54" s="26">
        <f>I54</f>
        <v>129</v>
      </c>
      <c r="K54" s="26">
        <f>J54</f>
        <v>129</v>
      </c>
      <c r="L54" s="26">
        <f>K54</f>
        <v>129</v>
      </c>
    </row>
    <row r="55" spans="2:12" x14ac:dyDescent="0.3">
      <c r="B55" t="s">
        <v>86</v>
      </c>
      <c r="C55" s="7">
        <v>3111</v>
      </c>
      <c r="D55" s="7">
        <v>3219</v>
      </c>
      <c r="E55" s="7">
        <v>3670</v>
      </c>
      <c r="F55" s="7">
        <f>3782-79</f>
        <v>3703</v>
      </c>
      <c r="G55" s="7">
        <v>3845</v>
      </c>
      <c r="H55" s="27">
        <f>G55+'Income statement'!I52+'Cashflow statement'!H63</f>
        <v>5107.4808259576785</v>
      </c>
      <c r="I55" s="27">
        <f>H55+'Income statement'!J52+'Cashflow statement'!I63</f>
        <v>6760.0667739183864</v>
      </c>
      <c r="J55" s="27">
        <f>I55+'Income statement'!K52+'Cashflow statement'!J63</f>
        <v>8899.9131202218814</v>
      </c>
      <c r="K55" s="27">
        <f>J55+'Income statement'!L52+'Cashflow statement'!K63</f>
        <v>11492.251266764162</v>
      </c>
      <c r="L55" s="27">
        <f>K55+'Income statement'!M52+'Cashflow statement'!L63</f>
        <v>11039.251266764162</v>
      </c>
    </row>
    <row r="56" spans="2:12" x14ac:dyDescent="0.3">
      <c r="B56" s="1" t="s">
        <v>87</v>
      </c>
      <c r="C56" s="13">
        <f>SUM(C54:C55)</f>
        <v>3240</v>
      </c>
      <c r="D56" s="13">
        <f>SUM(D54:D55)</f>
        <v>3348</v>
      </c>
      <c r="E56" s="13">
        <f>SUM(E54:E55)</f>
        <v>3799</v>
      </c>
      <c r="F56" s="13">
        <f>SUM(F54:F55)</f>
        <v>3832</v>
      </c>
      <c r="G56" s="13">
        <v>3975</v>
      </c>
      <c r="H56" s="13">
        <f>SUM(H54:H55)</f>
        <v>5236.4808259576785</v>
      </c>
      <c r="I56" s="13">
        <f>SUM(I54:I55)</f>
        <v>6889.0667739183864</v>
      </c>
      <c r="J56" s="13">
        <f>SUM(J54:J55)</f>
        <v>9028.9131202218814</v>
      </c>
      <c r="K56" s="13">
        <f>SUM(K54:K55)</f>
        <v>11621.251266764162</v>
      </c>
      <c r="L56" s="13">
        <f>SUM(L54:L55)</f>
        <v>11168.251266764162</v>
      </c>
    </row>
    <row r="57" spans="2:12" x14ac:dyDescent="0.3">
      <c r="B57" t="s">
        <v>88</v>
      </c>
      <c r="C57" s="7">
        <v>18</v>
      </c>
      <c r="D57" s="7">
        <v>57</v>
      </c>
      <c r="E57" s="7">
        <v>157</v>
      </c>
      <c r="F57" s="7">
        <v>337</v>
      </c>
      <c r="G57" s="7">
        <v>291</v>
      </c>
      <c r="H57" s="26">
        <f>G57</f>
        <v>291</v>
      </c>
      <c r="I57" s="26">
        <f>H57</f>
        <v>291</v>
      </c>
      <c r="J57" s="26">
        <f>I57</f>
        <v>291</v>
      </c>
      <c r="K57" s="26">
        <f>J57</f>
        <v>291</v>
      </c>
      <c r="L57" s="26">
        <f>K57</f>
        <v>291</v>
      </c>
    </row>
    <row r="58" spans="2:12" x14ac:dyDescent="0.3">
      <c r="B58" s="19" t="s">
        <v>89</v>
      </c>
      <c r="C58" s="20">
        <f t="shared" ref="C58:L58" si="5">SUM(C56:C57)</f>
        <v>3258</v>
      </c>
      <c r="D58" s="20">
        <f t="shared" si="5"/>
        <v>3405</v>
      </c>
      <c r="E58" s="20">
        <f t="shared" si="5"/>
        <v>3956</v>
      </c>
      <c r="F58" s="20">
        <f t="shared" si="5"/>
        <v>4169</v>
      </c>
      <c r="G58" s="20">
        <f t="shared" si="5"/>
        <v>4266</v>
      </c>
      <c r="H58" s="20">
        <f t="shared" si="5"/>
        <v>5527.4808259576785</v>
      </c>
      <c r="I58" s="20">
        <f t="shared" si="5"/>
        <v>7180.0667739183864</v>
      </c>
      <c r="J58" s="20">
        <f t="shared" si="5"/>
        <v>9319.9131202218814</v>
      </c>
      <c r="K58" s="20">
        <f t="shared" si="5"/>
        <v>11912.251266764162</v>
      </c>
      <c r="L58" s="20">
        <f t="shared" si="5"/>
        <v>11459.251266764162</v>
      </c>
    </row>
    <row r="59" spans="2:12" x14ac:dyDescent="0.3">
      <c r="C59" s="7"/>
      <c r="D59" s="7"/>
      <c r="E59" s="7"/>
      <c r="F59" s="7"/>
      <c r="G59" s="7"/>
      <c r="H59" s="7"/>
      <c r="I59" s="7"/>
      <c r="J59" s="7"/>
      <c r="K59" s="7"/>
      <c r="L59" s="7"/>
    </row>
    <row r="60" spans="2:12" x14ac:dyDescent="0.3">
      <c r="B60" s="2" t="s">
        <v>90</v>
      </c>
      <c r="C60" s="7"/>
      <c r="D60" s="7"/>
      <c r="E60" s="7"/>
      <c r="F60" s="7"/>
      <c r="G60" s="7"/>
      <c r="H60" s="7"/>
      <c r="I60" s="7"/>
      <c r="J60" s="7"/>
      <c r="K60" s="7"/>
      <c r="L60" s="7"/>
    </row>
    <row r="61" spans="2:12" x14ac:dyDescent="0.3">
      <c r="C61" s="7"/>
      <c r="D61" s="7"/>
      <c r="E61" s="7"/>
      <c r="F61" s="7"/>
      <c r="G61" s="7"/>
      <c r="H61" s="7"/>
      <c r="I61" s="7"/>
      <c r="J61" s="7"/>
      <c r="K61" s="7"/>
      <c r="L61" s="7"/>
    </row>
    <row r="62" spans="2:12" x14ac:dyDescent="0.3">
      <c r="B62" s="1" t="s">
        <v>91</v>
      </c>
      <c r="C62" s="7"/>
      <c r="D62" s="7"/>
      <c r="E62" s="7"/>
      <c r="F62" s="7"/>
      <c r="G62" s="7"/>
      <c r="H62" s="7"/>
      <c r="I62" s="7"/>
      <c r="J62" s="7"/>
      <c r="K62" s="7"/>
      <c r="L62" s="7"/>
    </row>
    <row r="63" spans="2:12" x14ac:dyDescent="0.3">
      <c r="B63" t="s">
        <v>92</v>
      </c>
      <c r="C63" s="7">
        <v>8</v>
      </c>
      <c r="D63" s="7">
        <v>0</v>
      </c>
      <c r="E63" s="7">
        <v>2</v>
      </c>
      <c r="F63" s="7">
        <v>0</v>
      </c>
      <c r="G63" s="7">
        <v>0</v>
      </c>
      <c r="H63" s="26">
        <f t="shared" ref="H63:H68" si="6">G63</f>
        <v>0</v>
      </c>
      <c r="I63" s="26">
        <f t="shared" ref="I63:L68" si="7">H63</f>
        <v>0</v>
      </c>
      <c r="J63" s="26">
        <f t="shared" si="7"/>
        <v>0</v>
      </c>
      <c r="K63" s="26">
        <f t="shared" si="7"/>
        <v>0</v>
      </c>
      <c r="L63" s="26">
        <f t="shared" si="7"/>
        <v>0</v>
      </c>
    </row>
    <row r="64" spans="2:12" x14ac:dyDescent="0.3">
      <c r="B64" t="s">
        <v>110</v>
      </c>
      <c r="C64" s="7">
        <v>122</v>
      </c>
      <c r="D64" s="7">
        <v>91</v>
      </c>
      <c r="E64" s="7">
        <v>91</v>
      </c>
      <c r="F64" s="7">
        <v>104</v>
      </c>
      <c r="G64" s="7">
        <v>124</v>
      </c>
      <c r="H64" s="26">
        <f t="shared" si="6"/>
        <v>124</v>
      </c>
      <c r="I64" s="26">
        <f t="shared" si="7"/>
        <v>124</v>
      </c>
      <c r="J64" s="26">
        <f t="shared" si="7"/>
        <v>124</v>
      </c>
      <c r="K64" s="26">
        <f t="shared" si="7"/>
        <v>124</v>
      </c>
      <c r="L64" s="26">
        <f t="shared" si="7"/>
        <v>124</v>
      </c>
    </row>
    <row r="65" spans="2:12" x14ac:dyDescent="0.3">
      <c r="B65" t="s">
        <v>102</v>
      </c>
      <c r="C65" s="7">
        <v>0</v>
      </c>
      <c r="D65" s="7">
        <v>0</v>
      </c>
      <c r="E65" s="7">
        <v>266</v>
      </c>
      <c r="F65" s="7">
        <v>405</v>
      </c>
      <c r="G65" s="7">
        <v>1211</v>
      </c>
      <c r="H65" s="26">
        <f t="shared" si="6"/>
        <v>1211</v>
      </c>
      <c r="I65" s="26">
        <f t="shared" si="7"/>
        <v>1211</v>
      </c>
      <c r="J65" s="26">
        <f t="shared" si="7"/>
        <v>1211</v>
      </c>
      <c r="K65" s="26">
        <f t="shared" si="7"/>
        <v>1211</v>
      </c>
      <c r="L65" s="26">
        <f t="shared" si="7"/>
        <v>1211</v>
      </c>
    </row>
    <row r="66" spans="2:12" x14ac:dyDescent="0.3">
      <c r="B66" t="s">
        <v>98</v>
      </c>
      <c r="C66" s="7">
        <v>1</v>
      </c>
      <c r="D66" s="7">
        <v>1</v>
      </c>
      <c r="E66" s="7">
        <v>4</v>
      </c>
      <c r="F66" s="7">
        <v>1</v>
      </c>
      <c r="G66" s="7">
        <v>1</v>
      </c>
      <c r="H66" s="26">
        <f t="shared" si="6"/>
        <v>1</v>
      </c>
      <c r="I66" s="26">
        <f t="shared" si="7"/>
        <v>1</v>
      </c>
      <c r="J66" s="26">
        <f t="shared" si="7"/>
        <v>1</v>
      </c>
      <c r="K66" s="26">
        <f t="shared" si="7"/>
        <v>1</v>
      </c>
      <c r="L66" s="26">
        <f t="shared" si="7"/>
        <v>1</v>
      </c>
    </row>
    <row r="67" spans="2:12" x14ac:dyDescent="0.3">
      <c r="B67" t="s">
        <v>99</v>
      </c>
      <c r="C67" s="7">
        <v>24</v>
      </c>
      <c r="D67" s="7">
        <v>27</v>
      </c>
      <c r="E67" s="7">
        <v>20</v>
      </c>
      <c r="F67" s="7">
        <v>19</v>
      </c>
      <c r="G67" s="7">
        <v>27</v>
      </c>
      <c r="H67" s="26">
        <f t="shared" si="6"/>
        <v>27</v>
      </c>
      <c r="I67" s="26">
        <f t="shared" si="7"/>
        <v>27</v>
      </c>
      <c r="J67" s="26">
        <f t="shared" si="7"/>
        <v>27</v>
      </c>
      <c r="K67" s="26">
        <f t="shared" si="7"/>
        <v>27</v>
      </c>
      <c r="L67" s="26">
        <f t="shared" si="7"/>
        <v>27</v>
      </c>
    </row>
    <row r="68" spans="2:12" x14ac:dyDescent="0.3">
      <c r="B68" t="s">
        <v>100</v>
      </c>
      <c r="C68" s="7">
        <v>84</v>
      </c>
      <c r="D68" s="7">
        <v>109</v>
      </c>
      <c r="E68" s="7">
        <v>178</v>
      </c>
      <c r="F68" s="7">
        <v>279</v>
      </c>
      <c r="G68" s="7">
        <v>248</v>
      </c>
      <c r="H68" s="26">
        <f t="shared" si="6"/>
        <v>248</v>
      </c>
      <c r="I68" s="26">
        <f t="shared" si="7"/>
        <v>248</v>
      </c>
      <c r="J68" s="26">
        <f t="shared" si="7"/>
        <v>248</v>
      </c>
      <c r="K68" s="26">
        <f t="shared" si="7"/>
        <v>248</v>
      </c>
      <c r="L68" s="26">
        <f t="shared" si="7"/>
        <v>248</v>
      </c>
    </row>
    <row r="69" spans="2:12" x14ac:dyDescent="0.3">
      <c r="B69" s="19" t="s">
        <v>103</v>
      </c>
      <c r="C69" s="20">
        <f t="shared" ref="C69:L69" si="8">SUM(C63:C68)</f>
        <v>239</v>
      </c>
      <c r="D69" s="20">
        <f t="shared" si="8"/>
        <v>228</v>
      </c>
      <c r="E69" s="20">
        <f t="shared" si="8"/>
        <v>561</v>
      </c>
      <c r="F69" s="20">
        <f t="shared" si="8"/>
        <v>808</v>
      </c>
      <c r="G69" s="20">
        <f t="shared" si="8"/>
        <v>1611</v>
      </c>
      <c r="H69" s="20">
        <f t="shared" si="8"/>
        <v>1611</v>
      </c>
      <c r="I69" s="20">
        <f t="shared" si="8"/>
        <v>1611</v>
      </c>
      <c r="J69" s="20">
        <f t="shared" si="8"/>
        <v>1611</v>
      </c>
      <c r="K69" s="20">
        <f t="shared" si="8"/>
        <v>1611</v>
      </c>
      <c r="L69" s="20">
        <f t="shared" si="8"/>
        <v>1611</v>
      </c>
    </row>
    <row r="70" spans="2:12" x14ac:dyDescent="0.3">
      <c r="C70" s="7"/>
      <c r="D70" s="7"/>
      <c r="E70" s="7"/>
      <c r="F70" s="7"/>
      <c r="G70" s="7"/>
      <c r="H70" s="7"/>
      <c r="I70" s="7"/>
      <c r="J70" s="7"/>
      <c r="K70" s="7"/>
      <c r="L70" s="7"/>
    </row>
    <row r="71" spans="2:12" x14ac:dyDescent="0.3">
      <c r="B71" s="2" t="s">
        <v>104</v>
      </c>
      <c r="C71" s="7"/>
      <c r="D71" s="7"/>
      <c r="E71" s="7"/>
      <c r="F71" s="7"/>
      <c r="G71" s="7"/>
      <c r="H71" s="7"/>
      <c r="I71" s="7"/>
      <c r="J71" s="7"/>
      <c r="K71" s="7"/>
      <c r="L71" s="7"/>
    </row>
    <row r="72" spans="2:12" x14ac:dyDescent="0.3">
      <c r="C72" s="7"/>
      <c r="D72" s="7"/>
      <c r="E72" s="7"/>
      <c r="F72" s="7"/>
      <c r="G72" s="7"/>
      <c r="H72" s="7"/>
      <c r="I72" s="7"/>
      <c r="J72" s="7"/>
      <c r="K72" s="7"/>
      <c r="L72" s="7"/>
    </row>
    <row r="73" spans="2:12" x14ac:dyDescent="0.3">
      <c r="B73" s="1" t="s">
        <v>91</v>
      </c>
      <c r="C73" s="7"/>
      <c r="D73" s="7"/>
      <c r="E73" s="7"/>
      <c r="F73" s="7"/>
      <c r="G73" s="7"/>
      <c r="H73" s="7"/>
      <c r="I73" s="7"/>
      <c r="J73" s="7"/>
      <c r="K73" s="7"/>
      <c r="L73" s="7"/>
    </row>
    <row r="74" spans="2:12" x14ac:dyDescent="0.3">
      <c r="B74" t="s">
        <v>92</v>
      </c>
      <c r="C74" s="7">
        <v>340</v>
      </c>
      <c r="D74" s="7">
        <v>345</v>
      </c>
      <c r="E74" s="7">
        <v>473</v>
      </c>
      <c r="F74" s="7">
        <v>383</v>
      </c>
      <c r="G74" s="7">
        <v>379</v>
      </c>
      <c r="H74" s="27">
        <f>'Debt Schedule'!H20</f>
        <v>394.87653032400351</v>
      </c>
      <c r="I74" s="27">
        <f>'Debt Schedule'!I20</f>
        <v>415.24476971979385</v>
      </c>
      <c r="J74" s="27">
        <f>'Debt Schedule'!J20</f>
        <v>441.26604539116073</v>
      </c>
      <c r="K74" s="27">
        <f>'Debt Schedule'!K20</f>
        <v>474.51692576826935</v>
      </c>
      <c r="L74" s="27">
        <f>'Debt Schedule'!L20</f>
        <v>517.16733346570675</v>
      </c>
    </row>
    <row r="75" spans="2:12" x14ac:dyDescent="0.3">
      <c r="B75" t="s">
        <v>93</v>
      </c>
      <c r="C75" s="7"/>
      <c r="D75" s="7"/>
      <c r="E75" s="7"/>
      <c r="F75" s="7"/>
      <c r="G75" s="7"/>
      <c r="H75" s="27"/>
      <c r="I75" s="27"/>
      <c r="J75" s="27"/>
      <c r="K75" s="27"/>
      <c r="L75" s="27"/>
    </row>
    <row r="76" spans="2:12" ht="28.8" x14ac:dyDescent="0.3">
      <c r="B76" s="3" t="s">
        <v>94</v>
      </c>
      <c r="C76" s="7">
        <v>50</v>
      </c>
      <c r="D76" s="7">
        <v>76</v>
      </c>
      <c r="E76" s="7">
        <v>68</v>
      </c>
      <c r="F76" s="7">
        <v>71</v>
      </c>
      <c r="G76" s="7">
        <v>89</v>
      </c>
      <c r="H76" s="27">
        <f>'Working Capital Schedule'!H51</f>
        <v>97.923041256342415</v>
      </c>
      <c r="I76" s="27">
        <f>'Working Capital Schedule'!I51</f>
        <v>94.878144850079678</v>
      </c>
      <c r="J76" s="27">
        <f>'Working Capital Schedule'!J51</f>
        <v>125.48739799627874</v>
      </c>
      <c r="K76" s="27">
        <f>'Working Capital Schedule'!K51</f>
        <v>131.29408824790394</v>
      </c>
      <c r="L76" s="27">
        <f>'Working Capital Schedule'!L51</f>
        <v>178.44183877082125</v>
      </c>
    </row>
    <row r="77" spans="2:12" ht="28.8" x14ac:dyDescent="0.3">
      <c r="B77" s="3" t="s">
        <v>95</v>
      </c>
      <c r="C77" s="7">
        <v>1084</v>
      </c>
      <c r="D77" s="7">
        <v>1268</v>
      </c>
      <c r="E77" s="7">
        <v>1384</v>
      </c>
      <c r="F77" s="7">
        <v>1510</v>
      </c>
      <c r="G77" s="7">
        <v>1274</v>
      </c>
      <c r="H77" s="27">
        <f>'Working Capital Schedule'!H52</f>
        <v>1802.1912753747063</v>
      </c>
      <c r="I77" s="27">
        <f>'Working Capital Schedule'!I52</f>
        <v>1746.1525160859562</v>
      </c>
      <c r="J77" s="27">
        <f>'Working Capital Schedule'!J52</f>
        <v>2309.4900948424047</v>
      </c>
      <c r="K77" s="27">
        <f>'Working Capital Schedule'!K52</f>
        <v>2416.3573487187182</v>
      </c>
      <c r="L77" s="27">
        <f>'Working Capital Schedule'!L52</f>
        <v>3284.0720719932206</v>
      </c>
    </row>
    <row r="78" spans="2:12" x14ac:dyDescent="0.3">
      <c r="B78" t="s">
        <v>96</v>
      </c>
      <c r="C78" s="7">
        <v>38</v>
      </c>
      <c r="D78" s="7">
        <v>43</v>
      </c>
      <c r="E78" s="7">
        <v>42</v>
      </c>
      <c r="F78" s="7">
        <v>59</v>
      </c>
      <c r="G78" s="7">
        <v>231</v>
      </c>
      <c r="H78" s="26">
        <f t="shared" ref="H78:H83" si="9">G78</f>
        <v>231</v>
      </c>
      <c r="I78" s="26">
        <f t="shared" ref="I78:L78" si="10">H78</f>
        <v>231</v>
      </c>
      <c r="J78" s="26">
        <f t="shared" si="10"/>
        <v>231</v>
      </c>
      <c r="K78" s="26">
        <f t="shared" si="10"/>
        <v>231</v>
      </c>
      <c r="L78" s="26">
        <f t="shared" si="10"/>
        <v>231</v>
      </c>
    </row>
    <row r="79" spans="2:12" x14ac:dyDescent="0.3">
      <c r="B79" t="s">
        <v>109</v>
      </c>
      <c r="C79" s="7">
        <v>44</v>
      </c>
      <c r="D79" s="7">
        <v>45</v>
      </c>
      <c r="E79" s="7">
        <v>40</v>
      </c>
      <c r="F79" s="7">
        <v>41</v>
      </c>
      <c r="G79" s="7">
        <v>51</v>
      </c>
      <c r="H79" s="26">
        <f t="shared" si="9"/>
        <v>51</v>
      </c>
      <c r="I79" s="26">
        <f t="shared" ref="I79:L79" si="11">H79</f>
        <v>51</v>
      </c>
      <c r="J79" s="26">
        <f t="shared" si="11"/>
        <v>51</v>
      </c>
      <c r="K79" s="26">
        <f t="shared" si="11"/>
        <v>51</v>
      </c>
      <c r="L79" s="26">
        <f t="shared" si="11"/>
        <v>51</v>
      </c>
    </row>
    <row r="80" spans="2:12" x14ac:dyDescent="0.3">
      <c r="B80" t="s">
        <v>97</v>
      </c>
      <c r="C80" s="7">
        <v>287</v>
      </c>
      <c r="D80" s="7">
        <v>224</v>
      </c>
      <c r="E80" s="7">
        <v>217</v>
      </c>
      <c r="F80" s="7">
        <v>211</v>
      </c>
      <c r="G80" s="7">
        <v>232</v>
      </c>
      <c r="H80" s="26">
        <f t="shared" si="9"/>
        <v>232</v>
      </c>
      <c r="I80" s="26">
        <f t="shared" ref="I80:L80" si="12">H80</f>
        <v>232</v>
      </c>
      <c r="J80" s="26">
        <f t="shared" si="12"/>
        <v>232</v>
      </c>
      <c r="K80" s="26">
        <f t="shared" si="12"/>
        <v>232</v>
      </c>
      <c r="L80" s="26">
        <f t="shared" si="12"/>
        <v>232</v>
      </c>
    </row>
    <row r="81" spans="2:12" x14ac:dyDescent="0.3">
      <c r="B81" t="s">
        <v>98</v>
      </c>
      <c r="C81" s="7">
        <v>20</v>
      </c>
      <c r="D81" s="7">
        <v>21</v>
      </c>
      <c r="E81" s="7">
        <v>44</v>
      </c>
      <c r="F81" s="7">
        <v>7</v>
      </c>
      <c r="G81" s="7">
        <v>21</v>
      </c>
      <c r="H81" s="26">
        <f t="shared" si="9"/>
        <v>21</v>
      </c>
      <c r="I81" s="26">
        <f t="shared" ref="I81:L81" si="13">H81</f>
        <v>21</v>
      </c>
      <c r="J81" s="26">
        <f t="shared" si="13"/>
        <v>21</v>
      </c>
      <c r="K81" s="26">
        <f t="shared" si="13"/>
        <v>21</v>
      </c>
      <c r="L81" s="26">
        <f t="shared" si="13"/>
        <v>21</v>
      </c>
    </row>
    <row r="82" spans="2:12" x14ac:dyDescent="0.3">
      <c r="B82" t="s">
        <v>99</v>
      </c>
      <c r="C82" s="7">
        <v>78</v>
      </c>
      <c r="D82" s="7">
        <v>64</v>
      </c>
      <c r="E82" s="7">
        <v>74</v>
      </c>
      <c r="F82" s="7">
        <v>79</v>
      </c>
      <c r="G82" s="7">
        <v>92</v>
      </c>
      <c r="H82" s="26">
        <f t="shared" si="9"/>
        <v>92</v>
      </c>
      <c r="I82" s="26">
        <f t="shared" ref="I82:L82" si="14">H82</f>
        <v>92</v>
      </c>
      <c r="J82" s="26">
        <f t="shared" si="14"/>
        <v>92</v>
      </c>
      <c r="K82" s="26">
        <f t="shared" si="14"/>
        <v>92</v>
      </c>
      <c r="L82" s="26">
        <f t="shared" si="14"/>
        <v>92</v>
      </c>
    </row>
    <row r="83" spans="2:12" x14ac:dyDescent="0.3">
      <c r="B83" t="s">
        <v>100</v>
      </c>
      <c r="C83" s="7">
        <v>72</v>
      </c>
      <c r="D83" s="7">
        <v>67</v>
      </c>
      <c r="E83" s="7">
        <v>87</v>
      </c>
      <c r="F83" s="7">
        <v>83</v>
      </c>
      <c r="G83" s="7">
        <v>92</v>
      </c>
      <c r="H83" s="26">
        <f t="shared" si="9"/>
        <v>92</v>
      </c>
      <c r="I83" s="26">
        <f t="shared" ref="I83:L83" si="15">H83</f>
        <v>92</v>
      </c>
      <c r="J83" s="26">
        <f t="shared" si="15"/>
        <v>92</v>
      </c>
      <c r="K83" s="26">
        <f t="shared" si="15"/>
        <v>92</v>
      </c>
      <c r="L83" s="26">
        <f t="shared" si="15"/>
        <v>92</v>
      </c>
    </row>
    <row r="84" spans="2:12" x14ac:dyDescent="0.3">
      <c r="B84" s="19" t="s">
        <v>101</v>
      </c>
      <c r="C84" s="20">
        <f>SUM(C74:C83)</f>
        <v>2013</v>
      </c>
      <c r="D84" s="20">
        <f>SUM(D74:D83)</f>
        <v>2153</v>
      </c>
      <c r="E84" s="20">
        <f t="shared" ref="E84:L84" si="16">SUM(E74:E83)</f>
        <v>2429</v>
      </c>
      <c r="F84" s="20">
        <f t="shared" si="16"/>
        <v>2444</v>
      </c>
      <c r="G84" s="20">
        <f t="shared" si="16"/>
        <v>2461</v>
      </c>
      <c r="H84" s="20">
        <f>SUM(H74:H83)</f>
        <v>3013.9908469550523</v>
      </c>
      <c r="I84" s="20">
        <f>SUM(I74:I83)</f>
        <v>2975.27543065583</v>
      </c>
      <c r="J84" s="20">
        <f t="shared" si="16"/>
        <v>3595.243538229844</v>
      </c>
      <c r="K84" s="20">
        <f t="shared" si="16"/>
        <v>3741.1683627348916</v>
      </c>
      <c r="L84" s="20">
        <f t="shared" si="16"/>
        <v>4698.6812442297487</v>
      </c>
    </row>
    <row r="85" spans="2:12" x14ac:dyDescent="0.3">
      <c r="C85" s="7"/>
      <c r="D85" s="7"/>
      <c r="E85" s="7"/>
      <c r="F85" s="7"/>
      <c r="G85" s="7"/>
      <c r="H85" s="7"/>
      <c r="I85" s="7"/>
      <c r="J85" s="7"/>
      <c r="K85" s="7"/>
      <c r="L85" s="7"/>
    </row>
    <row r="86" spans="2:12" x14ac:dyDescent="0.3">
      <c r="B86" s="8" t="s">
        <v>105</v>
      </c>
      <c r="C86" s="21">
        <f t="shared" ref="C86:L86" si="17">SUM(C84,C69,C58)</f>
        <v>5510</v>
      </c>
      <c r="D86" s="21">
        <f t="shared" si="17"/>
        <v>5786</v>
      </c>
      <c r="E86" s="21">
        <f t="shared" si="17"/>
        <v>6946</v>
      </c>
      <c r="F86" s="21">
        <f t="shared" si="17"/>
        <v>7421</v>
      </c>
      <c r="G86" s="21">
        <f t="shared" si="17"/>
        <v>8338</v>
      </c>
      <c r="H86" s="21">
        <f t="shared" si="17"/>
        <v>10152.47167291273</v>
      </c>
      <c r="I86" s="21">
        <f t="shared" si="17"/>
        <v>11766.342204574215</v>
      </c>
      <c r="J86" s="21">
        <f t="shared" si="17"/>
        <v>14526.156658451726</v>
      </c>
      <c r="K86" s="21">
        <f t="shared" si="17"/>
        <v>17264.419629499054</v>
      </c>
      <c r="L86" s="21">
        <f t="shared" si="17"/>
        <v>17768.932510993909</v>
      </c>
    </row>
    <row r="87" spans="2:12" x14ac:dyDescent="0.3">
      <c r="B87" t="s">
        <v>269</v>
      </c>
      <c r="C87" s="7">
        <f>C86-C47</f>
        <v>0</v>
      </c>
      <c r="D87" s="7">
        <f>D86-D47</f>
        <v>0</v>
      </c>
      <c r="E87" s="7">
        <f>E86-E47</f>
        <v>0</v>
      </c>
      <c r="F87" s="7">
        <f>F86-F47</f>
        <v>0</v>
      </c>
      <c r="G87" s="7">
        <f>G86-G47</f>
        <v>0</v>
      </c>
      <c r="H87" s="7">
        <f>-(H86-H47)</f>
        <v>171.11302025044824</v>
      </c>
      <c r="I87" s="7">
        <f>-(I86-I47)</f>
        <v>352.88574513424101</v>
      </c>
      <c r="J87" s="7">
        <f>-(J86-J47)</f>
        <v>370.24269008524607</v>
      </c>
      <c r="K87" s="7">
        <f>K86-K47</f>
        <v>-772.26779204884224</v>
      </c>
      <c r="L87" s="7">
        <f>-(L86-L47)</f>
        <v>772.27132755761704</v>
      </c>
    </row>
    <row r="88" spans="2:12" x14ac:dyDescent="0.3">
      <c r="C88" s="7"/>
      <c r="D88" s="7"/>
      <c r="E88" s="7"/>
      <c r="F88" s="7"/>
      <c r="G88" s="7"/>
      <c r="H88" s="7"/>
      <c r="I88" s="7"/>
      <c r="J88" s="7"/>
      <c r="K88" s="7"/>
      <c r="L88" s="7"/>
    </row>
    <row r="89" spans="2:12" x14ac:dyDescent="0.3">
      <c r="C89" s="7"/>
      <c r="D89" s="7"/>
      <c r="E89" s="7"/>
      <c r="F89" s="7"/>
      <c r="G89" s="7"/>
      <c r="H89" s="7"/>
      <c r="I89" s="7"/>
      <c r="J89" s="7"/>
      <c r="K89" s="7"/>
      <c r="L89" s="7"/>
    </row>
    <row r="90" spans="2:12" x14ac:dyDescent="0.3">
      <c r="C90" s="7"/>
      <c r="D90" s="7"/>
      <c r="E90" s="7"/>
      <c r="F90" s="7"/>
      <c r="G90" s="7"/>
      <c r="H90" s="7"/>
      <c r="I90" s="7"/>
      <c r="J90" s="7"/>
      <c r="K90" s="7"/>
      <c r="L90" s="7"/>
    </row>
    <row r="91" spans="2:12" x14ac:dyDescent="0.3">
      <c r="C91" s="7"/>
      <c r="D91" s="7"/>
      <c r="E91" s="7"/>
      <c r="F91" s="7"/>
      <c r="G91" s="7"/>
      <c r="H91" s="7"/>
      <c r="J91" s="7"/>
      <c r="K91" s="7"/>
      <c r="L91" s="7"/>
    </row>
    <row r="92" spans="2:12" x14ac:dyDescent="0.3">
      <c r="C92" s="7"/>
      <c r="D92" s="7"/>
      <c r="E92" s="7"/>
      <c r="F92" s="7"/>
      <c r="G92" s="7"/>
      <c r="H92" s="7"/>
      <c r="I92" s="7"/>
      <c r="J92" s="7"/>
      <c r="K92" s="7"/>
      <c r="L92" s="7"/>
    </row>
    <row r="93" spans="2:12" x14ac:dyDescent="0.3">
      <c r="C93" s="7"/>
      <c r="D93" s="7"/>
      <c r="E93" s="7"/>
      <c r="F93" s="7"/>
      <c r="G93" s="7"/>
      <c r="H93" s="7"/>
      <c r="I93" s="7"/>
      <c r="J93" s="72"/>
      <c r="K93" s="7"/>
      <c r="L93" s="7"/>
    </row>
    <row r="94" spans="2:12" x14ac:dyDescent="0.3">
      <c r="C94" s="7"/>
      <c r="D94" s="7"/>
      <c r="E94" s="7"/>
      <c r="F94" s="7"/>
      <c r="G94" s="7"/>
      <c r="H94" s="7"/>
      <c r="I94" s="7"/>
      <c r="J94" s="7"/>
      <c r="K94" s="7"/>
      <c r="L94" s="7"/>
    </row>
    <row r="95" spans="2:12" x14ac:dyDescent="0.3">
      <c r="C95" s="7"/>
      <c r="D95" s="7"/>
      <c r="E95" s="7"/>
      <c r="F95" s="7"/>
      <c r="G95" s="7"/>
      <c r="H95" s="7"/>
      <c r="I95" s="7"/>
      <c r="J95" s="7"/>
      <c r="K95" s="7"/>
      <c r="L95" s="7"/>
    </row>
    <row r="96" spans="2:12" x14ac:dyDescent="0.3">
      <c r="C96" s="7"/>
      <c r="D96" s="7"/>
      <c r="E96" s="7"/>
      <c r="F96" s="7"/>
      <c r="G96" s="7"/>
      <c r="H96" s="7"/>
      <c r="I96" s="7"/>
      <c r="J96" s="7"/>
      <c r="K96" s="7"/>
      <c r="L96" s="7"/>
    </row>
    <row r="97" spans="3:12" x14ac:dyDescent="0.3">
      <c r="C97" s="7"/>
      <c r="D97" s="7"/>
      <c r="E97" s="7"/>
      <c r="F97" s="7"/>
      <c r="G97" s="7"/>
      <c r="H97" s="7"/>
      <c r="I97" s="7"/>
      <c r="J97" s="7"/>
      <c r="K97" s="7"/>
      <c r="L97" s="7"/>
    </row>
    <row r="98" spans="3:12" x14ac:dyDescent="0.3">
      <c r="C98" s="7"/>
      <c r="D98" s="7"/>
      <c r="E98" s="7"/>
      <c r="F98" s="7"/>
      <c r="G98" s="7"/>
      <c r="H98" s="7"/>
      <c r="I98" s="7"/>
      <c r="J98" s="7"/>
      <c r="K98" s="7"/>
      <c r="L98" s="7"/>
    </row>
    <row r="99" spans="3:12" x14ac:dyDescent="0.3">
      <c r="C99" s="7"/>
      <c r="D99" s="7"/>
      <c r="E99" s="7"/>
      <c r="F99" s="7"/>
      <c r="G99" s="7"/>
      <c r="H99" s="7"/>
      <c r="I99" s="7"/>
      <c r="J99" s="7"/>
      <c r="K99" s="7"/>
      <c r="L99" s="7"/>
    </row>
    <row r="100" spans="3:12" x14ac:dyDescent="0.3">
      <c r="C100" s="7"/>
      <c r="D100" s="7"/>
      <c r="E100" s="7"/>
      <c r="F100" s="7"/>
      <c r="G100" s="7"/>
      <c r="H100" s="7"/>
      <c r="I100" s="7"/>
      <c r="J100" s="7"/>
      <c r="K100" s="7"/>
      <c r="L100" s="7"/>
    </row>
    <row r="101" spans="3:12" x14ac:dyDescent="0.3">
      <c r="C101" s="7"/>
      <c r="D101" s="7"/>
      <c r="E101" s="7"/>
      <c r="F101" s="7"/>
      <c r="G101" s="7"/>
      <c r="H101" s="7"/>
      <c r="I101" s="7"/>
      <c r="J101" s="7"/>
      <c r="K101" s="7"/>
      <c r="L101" s="7"/>
    </row>
    <row r="102" spans="3:12" x14ac:dyDescent="0.3">
      <c r="C102" s="7"/>
      <c r="D102" s="7"/>
      <c r="E102" s="7"/>
      <c r="F102" s="7"/>
      <c r="G102" s="7"/>
      <c r="H102" s="7"/>
      <c r="I102" s="7"/>
      <c r="J102" s="7"/>
      <c r="K102" s="7"/>
      <c r="L102" s="7"/>
    </row>
    <row r="103" spans="3:12" x14ac:dyDescent="0.3">
      <c r="C103" s="7"/>
      <c r="D103" s="7"/>
      <c r="E103" s="7"/>
      <c r="F103" s="7"/>
      <c r="G103" s="7"/>
      <c r="H103" s="7"/>
      <c r="I103" s="7"/>
      <c r="J103" s="7"/>
      <c r="K103" s="7"/>
      <c r="L103" s="7"/>
    </row>
    <row r="104" spans="3:12" x14ac:dyDescent="0.3">
      <c r="C104" s="7"/>
      <c r="D104" s="7"/>
      <c r="E104" s="7"/>
      <c r="F104" s="7"/>
      <c r="G104" s="7"/>
      <c r="H104" s="7"/>
      <c r="I104" s="7"/>
      <c r="J104" s="7"/>
      <c r="K104" s="7"/>
      <c r="L104" s="7"/>
    </row>
    <row r="105" spans="3:12" x14ac:dyDescent="0.3">
      <c r="C105" s="7"/>
      <c r="D105" s="7"/>
      <c r="E105" s="7"/>
      <c r="F105" s="7"/>
      <c r="G105" s="7"/>
      <c r="H105" s="7"/>
      <c r="I105" s="7"/>
      <c r="J105" s="7"/>
      <c r="K105" s="7"/>
      <c r="L105" s="7"/>
    </row>
    <row r="106" spans="3:12" x14ac:dyDescent="0.3">
      <c r="C106" s="7"/>
      <c r="D106" s="7"/>
      <c r="E106" s="7"/>
      <c r="F106" s="7"/>
      <c r="G106" s="7"/>
      <c r="H106" s="7"/>
      <c r="I106" s="7"/>
      <c r="J106" s="7"/>
      <c r="K106" s="7"/>
      <c r="L106" s="7"/>
    </row>
    <row r="107" spans="3:12" x14ac:dyDescent="0.3">
      <c r="C107" s="7"/>
      <c r="D107" s="7"/>
      <c r="E107" s="7"/>
      <c r="F107" s="7"/>
      <c r="G107" s="7"/>
      <c r="H107" s="7"/>
      <c r="I107" s="7"/>
      <c r="J107" s="7"/>
      <c r="K107" s="7"/>
      <c r="L107" s="7"/>
    </row>
    <row r="108" spans="3:12" x14ac:dyDescent="0.3">
      <c r="C108" s="7"/>
      <c r="D108" s="7"/>
      <c r="E108" s="7"/>
      <c r="F108" s="7"/>
      <c r="G108" s="7"/>
      <c r="H108" s="7"/>
      <c r="I108" s="7"/>
      <c r="J108" s="7"/>
      <c r="K108" s="7"/>
      <c r="L108" s="7"/>
    </row>
    <row r="109" spans="3:12" x14ac:dyDescent="0.3">
      <c r="C109" s="7"/>
      <c r="D109" s="7"/>
      <c r="E109" s="7"/>
      <c r="F109" s="7"/>
      <c r="G109" s="7"/>
      <c r="H109" s="7"/>
      <c r="I109" s="7"/>
      <c r="J109" s="7"/>
      <c r="K109" s="7"/>
      <c r="L109" s="7"/>
    </row>
    <row r="110" spans="3:12" x14ac:dyDescent="0.3">
      <c r="C110" s="7"/>
      <c r="D110" s="7"/>
      <c r="E110" s="7"/>
      <c r="F110" s="7"/>
      <c r="G110" s="7"/>
      <c r="H110" s="7"/>
      <c r="I110" s="7"/>
      <c r="J110" s="7"/>
      <c r="K110" s="7"/>
      <c r="L110" s="7"/>
    </row>
    <row r="111" spans="3:12" x14ac:dyDescent="0.3">
      <c r="C111" s="7"/>
      <c r="D111" s="7"/>
      <c r="E111" s="7"/>
      <c r="F111" s="7"/>
      <c r="G111" s="7"/>
      <c r="H111" s="7"/>
      <c r="I111" s="7"/>
      <c r="J111" s="7"/>
      <c r="K111" s="7"/>
      <c r="L111" s="7"/>
    </row>
    <row r="112" spans="3:12" x14ac:dyDescent="0.3">
      <c r="C112" s="7"/>
      <c r="D112" s="7"/>
      <c r="E112" s="7"/>
      <c r="F112" s="7"/>
      <c r="G112" s="7"/>
      <c r="H112" s="7"/>
      <c r="I112" s="7"/>
      <c r="J112" s="7"/>
      <c r="K112" s="7"/>
      <c r="L112" s="7"/>
    </row>
    <row r="113" spans="3:12" x14ac:dyDescent="0.3">
      <c r="C113" s="7"/>
      <c r="D113" s="7"/>
      <c r="E113" s="7"/>
      <c r="F113" s="7"/>
      <c r="G113" s="7"/>
      <c r="H113" s="7"/>
      <c r="I113" s="7"/>
      <c r="J113" s="7"/>
      <c r="K113" s="7"/>
      <c r="L113" s="7"/>
    </row>
    <row r="114" spans="3:12" x14ac:dyDescent="0.3">
      <c r="C114" s="7"/>
      <c r="D114" s="7"/>
      <c r="E114" s="7"/>
      <c r="F114" s="7"/>
      <c r="G114" s="7"/>
      <c r="H114" s="7"/>
      <c r="I114" s="7"/>
      <c r="J114" s="7"/>
      <c r="K114" s="7"/>
      <c r="L114" s="7"/>
    </row>
    <row r="115" spans="3:12" x14ac:dyDescent="0.3">
      <c r="C115" s="7"/>
      <c r="D115" s="7"/>
      <c r="E115" s="7"/>
      <c r="F115" s="7"/>
      <c r="G115" s="7"/>
      <c r="H115" s="7"/>
      <c r="I115" s="7"/>
      <c r="J115" s="7"/>
      <c r="K115" s="7"/>
      <c r="L115" s="7"/>
    </row>
    <row r="116" spans="3:12" x14ac:dyDescent="0.3">
      <c r="C116" s="7"/>
      <c r="D116" s="7"/>
      <c r="E116" s="7"/>
      <c r="F116" s="7"/>
      <c r="G116" s="7"/>
      <c r="H116" s="7"/>
      <c r="I116" s="7"/>
      <c r="J116" s="7"/>
      <c r="K116" s="7"/>
      <c r="L116" s="7"/>
    </row>
    <row r="117" spans="3:12" x14ac:dyDescent="0.3">
      <c r="C117" s="7"/>
      <c r="D117" s="7"/>
      <c r="E117" s="7"/>
      <c r="F117" s="7"/>
      <c r="G117" s="7"/>
      <c r="H117" s="7"/>
      <c r="I117" s="7"/>
      <c r="J117" s="7"/>
      <c r="K117" s="7"/>
      <c r="L117" s="7"/>
    </row>
    <row r="118" spans="3:12" x14ac:dyDescent="0.3">
      <c r="C118" s="7"/>
      <c r="D118" s="7"/>
      <c r="E118" s="7"/>
      <c r="F118" s="7"/>
      <c r="G118" s="7"/>
      <c r="H118" s="7"/>
      <c r="I118" s="7"/>
      <c r="J118" s="7"/>
      <c r="K118" s="7"/>
      <c r="L118" s="7"/>
    </row>
    <row r="119" spans="3:12" x14ac:dyDescent="0.3">
      <c r="C119" s="7"/>
      <c r="D119" s="7"/>
      <c r="E119" s="7"/>
      <c r="F119" s="7"/>
      <c r="G119" s="7"/>
      <c r="H119" s="7"/>
      <c r="I119" s="7"/>
      <c r="J119" s="7"/>
      <c r="K119" s="7"/>
      <c r="L119" s="7"/>
    </row>
    <row r="120" spans="3:12" x14ac:dyDescent="0.3">
      <c r="C120" s="7"/>
      <c r="D120" s="7"/>
      <c r="E120" s="7"/>
      <c r="F120" s="7"/>
      <c r="G120" s="7"/>
      <c r="H120" s="7"/>
      <c r="I120" s="7"/>
      <c r="J120" s="7"/>
      <c r="K120" s="7"/>
      <c r="L120" s="7"/>
    </row>
    <row r="121" spans="3:12" x14ac:dyDescent="0.3">
      <c r="C121" s="7"/>
      <c r="D121" s="7"/>
      <c r="E121" s="7"/>
      <c r="F121" s="7"/>
      <c r="G121" s="7"/>
      <c r="H121" s="7"/>
      <c r="I121" s="7"/>
      <c r="J121" s="7"/>
      <c r="K121" s="7"/>
      <c r="L121" s="7"/>
    </row>
    <row r="122" spans="3:12" x14ac:dyDescent="0.3">
      <c r="C122" s="7"/>
      <c r="D122" s="7"/>
      <c r="E122" s="7"/>
      <c r="F122" s="7"/>
      <c r="G122" s="7"/>
      <c r="H122" s="7"/>
      <c r="I122" s="7"/>
      <c r="J122" s="7"/>
      <c r="K122" s="7"/>
      <c r="L122" s="7"/>
    </row>
    <row r="123" spans="3:12" x14ac:dyDescent="0.3">
      <c r="C123" s="7"/>
      <c r="D123" s="7"/>
      <c r="E123" s="7"/>
      <c r="F123" s="7"/>
      <c r="G123" s="7"/>
      <c r="H123" s="7"/>
      <c r="I123" s="7"/>
      <c r="J123" s="7"/>
      <c r="K123" s="7"/>
      <c r="L123" s="7"/>
    </row>
    <row r="124" spans="3:12" x14ac:dyDescent="0.3">
      <c r="C124" s="7"/>
      <c r="D124" s="7"/>
      <c r="E124" s="7"/>
      <c r="F124" s="7"/>
      <c r="G124" s="7"/>
      <c r="H124" s="7"/>
      <c r="I124" s="7"/>
      <c r="J124" s="7"/>
      <c r="K124" s="7"/>
      <c r="L124" s="7"/>
    </row>
    <row r="125" spans="3:12" x14ac:dyDescent="0.3">
      <c r="C125" s="7"/>
      <c r="D125" s="7"/>
      <c r="E125" s="7"/>
      <c r="F125" s="7"/>
      <c r="G125" s="7"/>
      <c r="H125" s="7"/>
      <c r="I125" s="7"/>
      <c r="J125" s="7"/>
      <c r="K125" s="7"/>
      <c r="L125" s="7"/>
    </row>
    <row r="126" spans="3:12" x14ac:dyDescent="0.3">
      <c r="C126" s="7"/>
      <c r="D126" s="7"/>
      <c r="E126" s="7"/>
      <c r="F126" s="7"/>
      <c r="G126" s="7"/>
      <c r="H126" s="7"/>
      <c r="I126" s="7"/>
      <c r="J126" s="7"/>
      <c r="K126" s="7"/>
      <c r="L126" s="7"/>
    </row>
    <row r="127" spans="3:12" x14ac:dyDescent="0.3">
      <c r="C127" s="7"/>
      <c r="D127" s="7"/>
      <c r="E127" s="7"/>
      <c r="F127" s="7"/>
      <c r="G127" s="7"/>
      <c r="H127" s="7"/>
      <c r="I127" s="7"/>
      <c r="J127" s="7"/>
      <c r="K127" s="7"/>
      <c r="L127" s="7"/>
    </row>
    <row r="128" spans="3:12" x14ac:dyDescent="0.3">
      <c r="C128" s="7"/>
      <c r="D128" s="7"/>
      <c r="E128" s="7"/>
      <c r="F128" s="7"/>
      <c r="G128" s="7"/>
      <c r="H128" s="7"/>
      <c r="I128" s="7"/>
      <c r="J128" s="7"/>
      <c r="K128" s="7"/>
      <c r="L128" s="7"/>
    </row>
    <row r="129" spans="3:12" x14ac:dyDescent="0.3">
      <c r="C129" s="7"/>
      <c r="D129" s="7"/>
      <c r="E129" s="7"/>
      <c r="F129" s="7"/>
      <c r="G129" s="7"/>
      <c r="H129" s="7"/>
      <c r="I129" s="7"/>
      <c r="J129" s="7"/>
      <c r="K129" s="7"/>
      <c r="L129" s="7"/>
    </row>
    <row r="130" spans="3:12" x14ac:dyDescent="0.3">
      <c r="C130" s="7"/>
      <c r="D130" s="7"/>
      <c r="E130" s="7"/>
      <c r="F130" s="7"/>
      <c r="G130" s="7"/>
      <c r="H130" s="7"/>
      <c r="I130" s="7"/>
      <c r="J130" s="7"/>
      <c r="K130" s="7"/>
      <c r="L130" s="7"/>
    </row>
    <row r="131" spans="3:12" x14ac:dyDescent="0.3">
      <c r="C131" s="7"/>
      <c r="D131" s="7"/>
      <c r="E131" s="7"/>
      <c r="F131" s="7"/>
      <c r="G131" s="7"/>
      <c r="H131" s="7"/>
      <c r="I131" s="7"/>
      <c r="J131" s="7"/>
      <c r="K131" s="7"/>
      <c r="L131" s="7"/>
    </row>
    <row r="132" spans="3:12" x14ac:dyDescent="0.3">
      <c r="C132" s="7"/>
      <c r="D132" s="7"/>
      <c r="E132" s="7"/>
      <c r="F132" s="7"/>
      <c r="G132" s="7"/>
      <c r="H132" s="7"/>
      <c r="I132" s="7"/>
      <c r="J132" s="7"/>
      <c r="K132" s="7"/>
      <c r="L132" s="7"/>
    </row>
    <row r="133" spans="3:12" x14ac:dyDescent="0.3">
      <c r="C133" s="7"/>
      <c r="D133" s="7"/>
      <c r="E133" s="7"/>
      <c r="F133" s="7"/>
      <c r="G133" s="7"/>
      <c r="H133" s="7"/>
      <c r="I133" s="7"/>
      <c r="J133" s="7"/>
      <c r="K133" s="7"/>
      <c r="L133" s="7"/>
    </row>
    <row r="134" spans="3:12" x14ac:dyDescent="0.3">
      <c r="C134" s="7"/>
      <c r="D134" s="7"/>
      <c r="E134" s="7"/>
      <c r="F134" s="7"/>
      <c r="G134" s="7"/>
      <c r="H134" s="7"/>
      <c r="I134" s="7"/>
      <c r="J134" s="7"/>
      <c r="K134" s="7"/>
      <c r="L134" s="7"/>
    </row>
    <row r="135" spans="3:12" x14ac:dyDescent="0.3">
      <c r="C135" s="7"/>
      <c r="D135" s="7"/>
      <c r="E135" s="7"/>
      <c r="F135" s="7"/>
      <c r="G135" s="7"/>
      <c r="H135" s="7"/>
      <c r="I135" s="7"/>
      <c r="J135" s="7"/>
      <c r="K135" s="7"/>
      <c r="L135" s="7"/>
    </row>
    <row r="136" spans="3:12" x14ac:dyDescent="0.3">
      <c r="C136" s="7"/>
      <c r="D136" s="7"/>
      <c r="E136" s="7"/>
      <c r="F136" s="7"/>
      <c r="G136" s="7"/>
      <c r="H136" s="7"/>
      <c r="I136" s="7"/>
      <c r="J136" s="7"/>
      <c r="K136" s="7"/>
      <c r="L136" s="7"/>
    </row>
    <row r="137" spans="3:12" x14ac:dyDescent="0.3">
      <c r="C137" s="7"/>
      <c r="D137" s="7"/>
      <c r="E137" s="7"/>
      <c r="F137" s="7"/>
      <c r="G137" s="7"/>
      <c r="H137" s="7"/>
      <c r="I137" s="7"/>
      <c r="J137" s="7"/>
      <c r="K137" s="7"/>
      <c r="L137" s="7"/>
    </row>
    <row r="138" spans="3:12" x14ac:dyDescent="0.3">
      <c r="C138" s="7"/>
      <c r="D138" s="7"/>
      <c r="E138" s="7"/>
      <c r="F138" s="7"/>
      <c r="G138" s="7"/>
      <c r="H138" s="7"/>
      <c r="I138" s="7"/>
      <c r="J138" s="7"/>
      <c r="K138" s="7"/>
      <c r="L138" s="7"/>
    </row>
    <row r="139" spans="3:12" x14ac:dyDescent="0.3">
      <c r="C139" s="7"/>
      <c r="D139" s="7"/>
      <c r="E139" s="7"/>
      <c r="F139" s="7"/>
      <c r="G139" s="7"/>
      <c r="H139" s="7"/>
      <c r="I139" s="7"/>
      <c r="J139" s="7"/>
      <c r="K139" s="7"/>
      <c r="L139" s="7"/>
    </row>
    <row r="140" spans="3:12" x14ac:dyDescent="0.3">
      <c r="C140" s="7"/>
      <c r="D140" s="7"/>
      <c r="E140" s="7"/>
      <c r="F140" s="7"/>
      <c r="G140" s="7"/>
      <c r="H140" s="7"/>
      <c r="I140" s="7"/>
      <c r="J140" s="7"/>
      <c r="K140" s="7"/>
      <c r="L140" s="7"/>
    </row>
    <row r="141" spans="3:12" x14ac:dyDescent="0.3">
      <c r="C141" s="7"/>
      <c r="D141" s="7"/>
      <c r="E141" s="7"/>
      <c r="F141" s="7"/>
      <c r="G141" s="7"/>
      <c r="H141" s="7"/>
      <c r="I141" s="7"/>
      <c r="J141" s="7"/>
      <c r="K141" s="7"/>
      <c r="L141" s="7"/>
    </row>
    <row r="142" spans="3:12" x14ac:dyDescent="0.3">
      <c r="C142" s="7"/>
      <c r="D142" s="7"/>
      <c r="E142" s="7"/>
      <c r="F142" s="7"/>
      <c r="G142" s="7"/>
      <c r="H142" s="7"/>
      <c r="I142" s="7"/>
      <c r="J142" s="7"/>
      <c r="K142" s="7"/>
      <c r="L142" s="7"/>
    </row>
    <row r="143" spans="3:12" x14ac:dyDescent="0.3">
      <c r="C143" s="7"/>
      <c r="D143" s="7"/>
      <c r="E143" s="7"/>
      <c r="F143" s="7"/>
      <c r="G143" s="7"/>
      <c r="H143" s="7"/>
      <c r="I143" s="7"/>
      <c r="J143" s="7"/>
      <c r="K143" s="7"/>
      <c r="L143" s="7"/>
    </row>
    <row r="144" spans="3:12" x14ac:dyDescent="0.3">
      <c r="C144" s="7"/>
      <c r="D144" s="7"/>
      <c r="E144" s="7"/>
      <c r="F144" s="7"/>
      <c r="G144" s="7"/>
      <c r="H144" s="7"/>
      <c r="I144" s="7"/>
      <c r="J144" s="7"/>
      <c r="K144" s="7"/>
      <c r="L144" s="7"/>
    </row>
    <row r="145" spans="3:12" x14ac:dyDescent="0.3">
      <c r="C145" s="7"/>
      <c r="D145" s="7"/>
      <c r="E145" s="7"/>
      <c r="F145" s="7"/>
      <c r="G145" s="7"/>
      <c r="H145" s="7"/>
      <c r="I145" s="7"/>
      <c r="J145" s="7"/>
      <c r="K145" s="7"/>
      <c r="L145" s="7"/>
    </row>
    <row r="146" spans="3:12" x14ac:dyDescent="0.3">
      <c r="C146" s="7"/>
      <c r="D146" s="7"/>
      <c r="E146" s="7"/>
      <c r="F146" s="7"/>
      <c r="G146" s="7"/>
      <c r="H146" s="7"/>
      <c r="I146" s="7"/>
      <c r="J146" s="7"/>
      <c r="K146" s="7"/>
      <c r="L146" s="7"/>
    </row>
    <row r="147" spans="3:12" x14ac:dyDescent="0.3">
      <c r="C147" s="7"/>
      <c r="D147" s="7"/>
      <c r="E147" s="7"/>
      <c r="F147" s="7"/>
      <c r="G147" s="7"/>
      <c r="H147" s="7"/>
      <c r="I147" s="7"/>
      <c r="J147" s="7"/>
      <c r="K147" s="7"/>
      <c r="L147" s="7"/>
    </row>
    <row r="148" spans="3:12" x14ac:dyDescent="0.3">
      <c r="C148" s="7"/>
      <c r="D148" s="7"/>
      <c r="E148" s="7"/>
      <c r="F148" s="7"/>
      <c r="G148" s="7"/>
      <c r="H148" s="7"/>
      <c r="I148" s="7"/>
      <c r="J148" s="7"/>
      <c r="K148" s="7"/>
      <c r="L148" s="7"/>
    </row>
    <row r="149" spans="3:12" x14ac:dyDescent="0.3">
      <c r="C149" s="7"/>
      <c r="D149" s="7"/>
      <c r="E149" s="7"/>
      <c r="F149" s="7"/>
      <c r="G149" s="7"/>
      <c r="H149" s="7"/>
      <c r="I149" s="7"/>
      <c r="J149" s="7"/>
      <c r="K149" s="7"/>
      <c r="L149" s="7"/>
    </row>
    <row r="150" spans="3:12" x14ac:dyDescent="0.3">
      <c r="C150" s="7"/>
      <c r="D150" s="7"/>
      <c r="E150" s="7"/>
      <c r="F150" s="7"/>
      <c r="G150" s="7"/>
      <c r="H150" s="7"/>
      <c r="I150" s="7"/>
      <c r="J150" s="7"/>
      <c r="K150" s="7"/>
      <c r="L150" s="7"/>
    </row>
    <row r="151" spans="3:12" x14ac:dyDescent="0.3">
      <c r="C151" s="7"/>
      <c r="D151" s="7"/>
      <c r="E151" s="7"/>
      <c r="F151" s="7"/>
      <c r="G151" s="7"/>
      <c r="H151" s="7"/>
      <c r="I151" s="7"/>
      <c r="J151" s="7"/>
      <c r="K151" s="7"/>
      <c r="L151" s="7"/>
    </row>
    <row r="152" spans="3:12" x14ac:dyDescent="0.3">
      <c r="C152" s="7"/>
      <c r="D152" s="7"/>
      <c r="E152" s="7"/>
      <c r="F152" s="7"/>
      <c r="G152" s="7"/>
      <c r="H152" s="7"/>
      <c r="I152" s="7"/>
      <c r="J152" s="7"/>
      <c r="K152" s="7"/>
      <c r="L152"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B9A2-A4B0-4EFE-94A1-160D8A65872A}">
  <dimension ref="A2:M93"/>
  <sheetViews>
    <sheetView showGridLines="0" topLeftCell="B1" zoomScale="77" workbookViewId="0">
      <selection activeCell="L74" sqref="L74:M78"/>
    </sheetView>
  </sheetViews>
  <sheetFormatPr defaultRowHeight="14.4" x14ac:dyDescent="0.3"/>
  <cols>
    <col min="1" max="1" width="3.5546875" hidden="1" customWidth="1"/>
    <col min="2" max="2" width="61.109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3" x14ac:dyDescent="0.3">
      <c r="E2" s="124" t="s">
        <v>0</v>
      </c>
      <c r="F2" s="125"/>
      <c r="G2" s="125"/>
      <c r="H2" s="125"/>
    </row>
    <row r="3" spans="2:13" x14ac:dyDescent="0.3">
      <c r="E3" s="125"/>
      <c r="F3" s="125"/>
      <c r="G3" s="125"/>
      <c r="H3" s="125"/>
    </row>
    <row r="4" spans="2:13" x14ac:dyDescent="0.3">
      <c r="E4" s="125"/>
      <c r="F4" s="125"/>
      <c r="G4" s="125"/>
      <c r="H4" s="125"/>
    </row>
    <row r="5" spans="2:13" x14ac:dyDescent="0.3">
      <c r="E5" s="125"/>
      <c r="F5" s="125"/>
      <c r="G5" s="125"/>
      <c r="H5" s="125"/>
    </row>
    <row r="9" spans="2:13" ht="15" thickBot="1" x14ac:dyDescent="0.35"/>
    <row r="10" spans="2:13"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3" ht="15" thickBot="1" x14ac:dyDescent="0.35">
      <c r="B11" s="128"/>
      <c r="C11" s="121"/>
      <c r="D11" s="121"/>
      <c r="E11" s="121"/>
      <c r="F11" s="121"/>
      <c r="G11" s="121"/>
      <c r="H11" s="126"/>
      <c r="I11" s="121"/>
      <c r="J11" s="121"/>
      <c r="K11" s="121"/>
      <c r="L11" s="123"/>
    </row>
    <row r="13" spans="2:13" x14ac:dyDescent="0.3">
      <c r="B13" s="2" t="s">
        <v>111</v>
      </c>
    </row>
    <row r="14" spans="2:13" x14ac:dyDescent="0.3">
      <c r="B14" s="1"/>
      <c r="H14" s="63"/>
      <c r="I14" s="63"/>
      <c r="J14" s="63"/>
      <c r="K14" s="63"/>
      <c r="L14" s="63"/>
    </row>
    <row r="15" spans="2:13" x14ac:dyDescent="0.3">
      <c r="B15" s="1" t="s">
        <v>112</v>
      </c>
      <c r="C15" s="12">
        <f>'Income statement'!C31</f>
        <v>1523</v>
      </c>
      <c r="D15" s="12">
        <f>'Income statement'!D27</f>
        <v>1601</v>
      </c>
      <c r="E15" s="12">
        <f>'Income statement'!E27</f>
        <v>1743</v>
      </c>
      <c r="F15" s="12">
        <f>'Income statement'!F27</f>
        <v>1937</v>
      </c>
      <c r="G15" s="12">
        <f>'Income statement'!G27</f>
        <v>1908</v>
      </c>
      <c r="H15" s="27">
        <f>'Income statement'!H27</f>
        <v>2091.1991122670734</v>
      </c>
      <c r="I15" s="27">
        <f>'Income statement'!I27</f>
        <v>2446.2145512628722</v>
      </c>
      <c r="J15" s="27">
        <f>'Income statement'!J27</f>
        <v>3022.3351982979875</v>
      </c>
      <c r="K15" s="27">
        <f>'Income statement'!K27</f>
        <v>3705.6458491727444</v>
      </c>
      <c r="L15" s="27">
        <f>'Income statement'!L27</f>
        <v>4365.6712679052034</v>
      </c>
      <c r="M15" s="9"/>
    </row>
    <row r="16" spans="2:13" x14ac:dyDescent="0.3">
      <c r="B16" t="s">
        <v>113</v>
      </c>
      <c r="C16" s="7"/>
      <c r="D16" s="7"/>
      <c r="E16" s="7"/>
      <c r="F16" s="7"/>
      <c r="G16" s="7"/>
      <c r="H16" s="61"/>
      <c r="I16" s="61"/>
      <c r="J16" s="61"/>
      <c r="K16" s="61"/>
      <c r="L16" s="61"/>
      <c r="M16" s="9"/>
    </row>
    <row r="17" spans="2:13" x14ac:dyDescent="0.3">
      <c r="B17" t="s">
        <v>114</v>
      </c>
      <c r="C17" s="7">
        <v>139</v>
      </c>
      <c r="D17" s="7">
        <v>139</v>
      </c>
      <c r="E17" s="7">
        <v>155</v>
      </c>
      <c r="F17" s="7">
        <v>158</v>
      </c>
      <c r="G17" s="7">
        <v>178</v>
      </c>
      <c r="H17" s="27">
        <f>'Income statement'!H24</f>
        <v>226.24873097698548</v>
      </c>
      <c r="I17" s="27">
        <f>'Income statement'!I24</f>
        <v>226.93129825301961</v>
      </c>
      <c r="J17" s="27">
        <f>'Income statement'!J24</f>
        <v>236.17126524914008</v>
      </c>
      <c r="K17" s="27">
        <f>'Income statement'!K24</f>
        <v>256.22074041892057</v>
      </c>
      <c r="L17" s="27">
        <f>'Income statement'!L24</f>
        <v>286.85565889122336</v>
      </c>
      <c r="M17" s="9"/>
    </row>
    <row r="18" spans="2:13" ht="28.8" x14ac:dyDescent="0.3">
      <c r="B18" s="3" t="s">
        <v>153</v>
      </c>
      <c r="C18" s="7">
        <v>2</v>
      </c>
      <c r="D18" s="7">
        <v>0</v>
      </c>
      <c r="E18" s="7">
        <v>0</v>
      </c>
      <c r="F18" s="7">
        <v>0</v>
      </c>
      <c r="G18" s="7">
        <v>0</v>
      </c>
      <c r="H18" s="61"/>
      <c r="I18" s="61"/>
      <c r="J18" s="61"/>
      <c r="K18" s="61"/>
      <c r="L18" s="61"/>
      <c r="M18" s="9"/>
    </row>
    <row r="19" spans="2:13" x14ac:dyDescent="0.3">
      <c r="B19" t="s">
        <v>21</v>
      </c>
      <c r="C19" s="7">
        <v>34</v>
      </c>
      <c r="D19" s="7">
        <v>39</v>
      </c>
      <c r="E19" s="7">
        <v>56</v>
      </c>
      <c r="F19" s="7">
        <v>73</v>
      </c>
      <c r="G19" s="7">
        <v>53</v>
      </c>
      <c r="H19" s="27">
        <f>'Income statement'!H23</f>
        <v>58.849927343030551</v>
      </c>
      <c r="I19" s="27">
        <f>'Income statement'!I23</f>
        <v>61.60618364619264</v>
      </c>
      <c r="J19" s="27">
        <f>'Income statement'!J23</f>
        <v>65.133903488061506</v>
      </c>
      <c r="K19" s="27">
        <f>'Income statement'!K23</f>
        <v>69.641291863642735</v>
      </c>
      <c r="L19" s="27">
        <f>'Income statement'!L23</f>
        <v>75.413253040135999</v>
      </c>
      <c r="M19" s="9"/>
    </row>
    <row r="20" spans="2:13" x14ac:dyDescent="0.3">
      <c r="B20" t="s">
        <v>151</v>
      </c>
      <c r="C20" s="7">
        <v>-59</v>
      </c>
      <c r="D20" s="7">
        <v>-59</v>
      </c>
      <c r="E20" s="7">
        <v>-49</v>
      </c>
      <c r="F20" s="7">
        <v>-77</v>
      </c>
      <c r="G20" s="7">
        <v>-77</v>
      </c>
      <c r="H20" s="61"/>
      <c r="I20" s="61"/>
      <c r="J20" s="61"/>
      <c r="K20" s="61"/>
      <c r="L20" s="61"/>
      <c r="M20" s="9"/>
    </row>
    <row r="21" spans="2:13" x14ac:dyDescent="0.3">
      <c r="B21" t="s">
        <v>115</v>
      </c>
      <c r="C21" s="7">
        <v>0</v>
      </c>
      <c r="D21" s="7">
        <v>0</v>
      </c>
      <c r="E21" s="7">
        <v>-28</v>
      </c>
      <c r="F21" s="7">
        <v>-15</v>
      </c>
      <c r="G21" s="7">
        <v>-20</v>
      </c>
      <c r="H21" s="7"/>
      <c r="I21" s="7"/>
      <c r="J21" s="7"/>
      <c r="K21" s="7"/>
      <c r="L21" s="7"/>
      <c r="M21" s="9"/>
    </row>
    <row r="22" spans="2:13" ht="28.8" x14ac:dyDescent="0.3">
      <c r="B22" s="3" t="s">
        <v>116</v>
      </c>
      <c r="C22" s="7">
        <v>-21</v>
      </c>
      <c r="D22" s="7">
        <v>-29</v>
      </c>
      <c r="E22" s="7">
        <v>-50</v>
      </c>
      <c r="F22" s="7">
        <v>-73</v>
      </c>
      <c r="G22" s="7">
        <v>-76</v>
      </c>
      <c r="H22" s="7"/>
      <c r="I22" s="7"/>
      <c r="J22" s="7"/>
      <c r="K22" s="7"/>
      <c r="L22" s="7"/>
      <c r="M22" s="9"/>
    </row>
    <row r="23" spans="2:13" x14ac:dyDescent="0.3">
      <c r="B23" t="s">
        <v>117</v>
      </c>
      <c r="C23" s="7">
        <v>9</v>
      </c>
      <c r="D23" s="7">
        <v>10</v>
      </c>
      <c r="E23" s="7">
        <v>19</v>
      </c>
      <c r="F23" s="7">
        <v>35</v>
      </c>
      <c r="G23" s="7">
        <v>43</v>
      </c>
      <c r="H23" s="7"/>
      <c r="I23" s="7"/>
      <c r="J23" s="7"/>
      <c r="K23" s="7"/>
      <c r="L23" s="7"/>
      <c r="M23" s="9"/>
    </row>
    <row r="24" spans="2:13" x14ac:dyDescent="0.3">
      <c r="B24" t="s">
        <v>154</v>
      </c>
      <c r="C24" s="7">
        <v>51</v>
      </c>
      <c r="D24" s="7">
        <v>0</v>
      </c>
      <c r="E24" s="7">
        <v>0</v>
      </c>
      <c r="F24" s="7">
        <v>0</v>
      </c>
      <c r="G24" s="7">
        <v>0</v>
      </c>
      <c r="H24" s="7"/>
      <c r="I24" s="7"/>
      <c r="J24" s="7"/>
      <c r="K24" s="7"/>
      <c r="L24" s="7"/>
      <c r="M24" s="9"/>
    </row>
    <row r="25" spans="2:13" x14ac:dyDescent="0.3">
      <c r="B25" t="s">
        <v>155</v>
      </c>
      <c r="C25" s="7">
        <v>-64</v>
      </c>
      <c r="D25" s="7">
        <v>0</v>
      </c>
      <c r="E25" s="7">
        <v>0</v>
      </c>
      <c r="F25" s="7">
        <v>0</v>
      </c>
      <c r="G25" s="7">
        <v>0</v>
      </c>
      <c r="H25" s="7"/>
      <c r="I25" s="7"/>
      <c r="J25" s="7"/>
      <c r="K25" s="7"/>
      <c r="L25" s="7"/>
      <c r="M25" s="9"/>
    </row>
    <row r="26" spans="2:13" x14ac:dyDescent="0.3">
      <c r="B26" t="s">
        <v>118</v>
      </c>
      <c r="C26" s="7">
        <v>3</v>
      </c>
      <c r="D26" s="7">
        <v>8</v>
      </c>
      <c r="E26" s="7">
        <v>1</v>
      </c>
      <c r="F26" s="7">
        <v>2</v>
      </c>
      <c r="G26" s="7">
        <v>2</v>
      </c>
      <c r="H26" s="7"/>
      <c r="I26" s="7"/>
      <c r="J26" s="7"/>
      <c r="K26" s="7"/>
      <c r="L26" s="7"/>
      <c r="M26" s="9"/>
    </row>
    <row r="27" spans="2:13" x14ac:dyDescent="0.3">
      <c r="B27" s="1" t="s">
        <v>152</v>
      </c>
      <c r="C27" s="13">
        <f t="shared" ref="C27:H27" si="0">SUM(C15:C26)</f>
        <v>1617</v>
      </c>
      <c r="D27" s="13">
        <f t="shared" si="0"/>
        <v>1709</v>
      </c>
      <c r="E27" s="13">
        <f t="shared" si="0"/>
        <v>1847</v>
      </c>
      <c r="F27" s="13">
        <f t="shared" si="0"/>
        <v>2040</v>
      </c>
      <c r="G27" s="13">
        <f t="shared" si="0"/>
        <v>2011</v>
      </c>
      <c r="H27" s="13">
        <f t="shared" si="0"/>
        <v>2376.2977705870894</v>
      </c>
      <c r="I27" s="13">
        <f t="shared" ref="I27:L27" si="1">SUM(I15:I26)</f>
        <v>2734.7520331620844</v>
      </c>
      <c r="J27" s="13">
        <f t="shared" si="1"/>
        <v>3323.6403670351892</v>
      </c>
      <c r="K27" s="13">
        <f t="shared" si="1"/>
        <v>4031.5078814553081</v>
      </c>
      <c r="L27" s="13">
        <f t="shared" si="1"/>
        <v>4727.9401798365625</v>
      </c>
      <c r="M27" s="9"/>
    </row>
    <row r="28" spans="2:13" x14ac:dyDescent="0.3">
      <c r="B28" s="1" t="s">
        <v>119</v>
      </c>
      <c r="C28" s="7"/>
      <c r="D28" s="7"/>
      <c r="E28" s="7"/>
      <c r="F28" s="7"/>
      <c r="G28" s="7"/>
      <c r="H28" s="7"/>
      <c r="I28" s="7"/>
      <c r="J28" s="7"/>
      <c r="K28" s="7"/>
      <c r="L28" s="7"/>
      <c r="M28" s="9"/>
    </row>
    <row r="29" spans="2:13" x14ac:dyDescent="0.3">
      <c r="B29" t="s">
        <v>121</v>
      </c>
      <c r="C29" s="7">
        <v>251</v>
      </c>
      <c r="D29" s="7">
        <v>-286</v>
      </c>
      <c r="E29" s="7">
        <v>191</v>
      </c>
      <c r="F29" s="7">
        <v>-101</v>
      </c>
      <c r="G29" s="7">
        <v>101</v>
      </c>
      <c r="H29" s="7">
        <f>'Working Capital Schedule'!H14</f>
        <v>724.31659175011146</v>
      </c>
      <c r="I29" s="7">
        <f>'Working Capital Schedule'!I14</f>
        <v>-205.30063372471477</v>
      </c>
      <c r="J29" s="7">
        <f>'Working Capital Schedule'!J14</f>
        <v>750.51485614882131</v>
      </c>
      <c r="K29" s="7">
        <f>'Working Capital Schedule'!K14</f>
        <v>-133.24781500607423</v>
      </c>
      <c r="L29" s="7">
        <f>'Working Capital Schedule'!L14</f>
        <v>1186.0294715383661</v>
      </c>
      <c r="M29" s="9"/>
    </row>
    <row r="30" spans="2:13" x14ac:dyDescent="0.3">
      <c r="B30" t="s">
        <v>120</v>
      </c>
      <c r="C30" s="7">
        <v>147</v>
      </c>
      <c r="D30" s="7">
        <v>-272</v>
      </c>
      <c r="E30" s="7">
        <v>-360</v>
      </c>
      <c r="F30" s="7">
        <v>-52</v>
      </c>
      <c r="G30" s="7">
        <v>-205</v>
      </c>
      <c r="H30" s="7">
        <f>'Working Capital Schedule'!H26</f>
        <v>-516.78630372557859</v>
      </c>
      <c r="I30" s="7">
        <f>'Working Capital Schedule'!I26</f>
        <v>1153.7843967961148</v>
      </c>
      <c r="J30" s="7">
        <f>'Working Capital Schedule'!J26</f>
        <v>-637.14118450192518</v>
      </c>
      <c r="K30" s="7">
        <f>'Working Capital Schedule'!K26</f>
        <v>1112.3215536655946</v>
      </c>
      <c r="L30" s="7">
        <f>'Working Capital Schedule'!L26</f>
        <v>-526.09203070900185</v>
      </c>
      <c r="M30" s="9"/>
    </row>
    <row r="31" spans="2:13" x14ac:dyDescent="0.3">
      <c r="B31" t="s">
        <v>122</v>
      </c>
      <c r="C31" s="7">
        <v>184</v>
      </c>
      <c r="D31" s="7">
        <v>210</v>
      </c>
      <c r="E31" s="7">
        <v>99</v>
      </c>
      <c r="F31" s="7">
        <v>106</v>
      </c>
      <c r="G31" s="7">
        <v>-218</v>
      </c>
      <c r="H31" s="7">
        <f>'Working Capital Schedule'!H38</f>
        <v>537.1143166310485</v>
      </c>
      <c r="I31" s="7">
        <f>'Working Capital Schedule'!I38</f>
        <v>-59.083655695012567</v>
      </c>
      <c r="J31" s="7">
        <f>'Working Capital Schedule'!J38</f>
        <v>593.94683190264732</v>
      </c>
      <c r="K31" s="7">
        <f>'Working Capital Schedule'!K38</f>
        <v>112.67394412793874</v>
      </c>
      <c r="L31" s="7">
        <f>'Working Capital Schedule'!L38</f>
        <v>914.86247379741963</v>
      </c>
      <c r="M31" s="9"/>
    </row>
    <row r="32" spans="2:13" x14ac:dyDescent="0.3">
      <c r="B32" s="1" t="s">
        <v>123</v>
      </c>
      <c r="C32" s="13">
        <f t="shared" ref="C32:L32" si="2">SUM(C27:C31)</f>
        <v>2199</v>
      </c>
      <c r="D32" s="13">
        <f t="shared" si="2"/>
        <v>1361</v>
      </c>
      <c r="E32" s="13">
        <f t="shared" si="2"/>
        <v>1777</v>
      </c>
      <c r="F32" s="13">
        <f t="shared" si="2"/>
        <v>1993</v>
      </c>
      <c r="G32" s="13">
        <f t="shared" si="2"/>
        <v>1689</v>
      </c>
      <c r="H32" s="13">
        <f t="shared" si="2"/>
        <v>3120.942375242671</v>
      </c>
      <c r="I32" s="13">
        <f t="shared" si="2"/>
        <v>3624.1521405384719</v>
      </c>
      <c r="J32" s="13">
        <f t="shared" si="2"/>
        <v>4030.9608705847327</v>
      </c>
      <c r="K32" s="13">
        <f t="shared" si="2"/>
        <v>5123.2555642427669</v>
      </c>
      <c r="L32" s="13">
        <f t="shared" si="2"/>
        <v>6302.7400944633464</v>
      </c>
      <c r="M32" s="9"/>
    </row>
    <row r="33" spans="1:13" x14ac:dyDescent="0.3">
      <c r="B33" s="3" t="s">
        <v>124</v>
      </c>
      <c r="C33" s="7">
        <v>0</v>
      </c>
      <c r="D33" s="7">
        <v>0</v>
      </c>
      <c r="E33" s="7">
        <v>0</v>
      </c>
      <c r="F33" s="7">
        <v>-49</v>
      </c>
      <c r="G33" s="7">
        <v>-79</v>
      </c>
      <c r="H33" s="7"/>
      <c r="I33" s="7"/>
      <c r="J33" s="7"/>
      <c r="K33" s="7"/>
      <c r="L33" s="7"/>
      <c r="M33" s="9"/>
    </row>
    <row r="34" spans="1:13" x14ac:dyDescent="0.3">
      <c r="A34" t="s">
        <v>125</v>
      </c>
      <c r="B34" t="s">
        <v>126</v>
      </c>
      <c r="C34" s="7">
        <v>-285</v>
      </c>
      <c r="D34" s="7">
        <v>-351</v>
      </c>
      <c r="E34" s="7">
        <v>-369</v>
      </c>
      <c r="F34" s="7">
        <v>-378</v>
      </c>
      <c r="G34" s="7">
        <v>-484</v>
      </c>
      <c r="H34" s="27">
        <f>-('Cost Schedule'!H46)</f>
        <v>-614.75197766671965</v>
      </c>
      <c r="I34" s="27">
        <f>-('Cost Schedule'!I46)</f>
        <v>-730.73372530519384</v>
      </c>
      <c r="J34" s="27">
        <f>-('Cost Schedule'!J46)</f>
        <v>-916.74925033727993</v>
      </c>
      <c r="K34" s="27">
        <f>-('Cost Schedule'!K46)</f>
        <v>-1112.799502869249</v>
      </c>
      <c r="L34" s="27">
        <f>-('Cost Schedule'!L46)</f>
        <v>-1320.3331213629228</v>
      </c>
      <c r="M34" s="9"/>
    </row>
    <row r="35" spans="1:13" x14ac:dyDescent="0.3">
      <c r="C35" s="7"/>
      <c r="D35" s="7"/>
      <c r="E35" s="7"/>
      <c r="F35" s="7"/>
      <c r="G35" s="7"/>
      <c r="H35" s="7"/>
      <c r="I35" s="7"/>
      <c r="J35" s="7"/>
      <c r="K35" s="7"/>
      <c r="L35" s="7"/>
      <c r="M35" s="9"/>
    </row>
    <row r="36" spans="1:13" x14ac:dyDescent="0.3">
      <c r="B36" s="22" t="s">
        <v>127</v>
      </c>
      <c r="C36" s="18">
        <f>SUM(C32:C34)</f>
        <v>1914</v>
      </c>
      <c r="D36" s="18">
        <f t="shared" ref="D36:L36" si="3">SUM(D32:D34)</f>
        <v>1010</v>
      </c>
      <c r="E36" s="18">
        <f t="shared" si="3"/>
        <v>1408</v>
      </c>
      <c r="F36" s="18">
        <f t="shared" si="3"/>
        <v>1566</v>
      </c>
      <c r="G36" s="18">
        <f>SUM(G32:G34)</f>
        <v>1126</v>
      </c>
      <c r="H36" s="18">
        <f>SUM(H32:H34)</f>
        <v>2506.1903975759515</v>
      </c>
      <c r="I36" s="18">
        <f t="shared" si="3"/>
        <v>2893.4184152332782</v>
      </c>
      <c r="J36" s="18">
        <f t="shared" si="3"/>
        <v>3114.2116202474526</v>
      </c>
      <c r="K36" s="18">
        <f t="shared" si="3"/>
        <v>4010.456061373518</v>
      </c>
      <c r="L36" s="18">
        <f t="shared" si="3"/>
        <v>4982.4069731004238</v>
      </c>
      <c r="M36" s="9"/>
    </row>
    <row r="37" spans="1:13" x14ac:dyDescent="0.3">
      <c r="C37" s="7"/>
      <c r="D37" s="7"/>
      <c r="E37" s="7"/>
      <c r="F37" s="7"/>
      <c r="G37" s="7"/>
      <c r="H37" s="7"/>
      <c r="I37" s="7"/>
      <c r="J37" s="7"/>
      <c r="K37" s="7"/>
      <c r="L37" s="7"/>
      <c r="M37" s="9"/>
    </row>
    <row r="38" spans="1:13" x14ac:dyDescent="0.3">
      <c r="B38" s="2" t="s">
        <v>128</v>
      </c>
      <c r="C38" s="7"/>
      <c r="D38" s="7"/>
      <c r="E38" s="7"/>
      <c r="F38" s="7"/>
      <c r="G38" s="7"/>
      <c r="H38" s="7"/>
      <c r="I38" s="7"/>
      <c r="J38" s="7"/>
      <c r="K38" s="7"/>
      <c r="L38" s="7"/>
      <c r="M38" s="9"/>
    </row>
    <row r="39" spans="1:13" x14ac:dyDescent="0.3">
      <c r="C39" s="7"/>
      <c r="D39" s="7"/>
      <c r="E39" s="7"/>
      <c r="F39" s="7"/>
      <c r="G39" s="7"/>
      <c r="H39" s="7"/>
      <c r="I39" s="7"/>
      <c r="J39" s="7"/>
      <c r="K39" s="7"/>
      <c r="L39" s="7"/>
      <c r="M39" s="9"/>
    </row>
    <row r="40" spans="1:13" x14ac:dyDescent="0.3">
      <c r="B40" t="s">
        <v>129</v>
      </c>
      <c r="C40" s="7">
        <v>-142</v>
      </c>
      <c r="D40" s="7">
        <v>-132</v>
      </c>
      <c r="E40" s="7">
        <v>-182</v>
      </c>
      <c r="F40" s="7">
        <v>-153</v>
      </c>
      <c r="G40" s="7">
        <v>-161</v>
      </c>
      <c r="H40" s="7">
        <f>-('Asset Schedule'!H23)</f>
        <v>-204.49502840439726</v>
      </c>
      <c r="I40" s="7">
        <f>-('Asset Schedule'!I23)</f>
        <v>-260.69334331575629</v>
      </c>
      <c r="J40" s="7">
        <f>-('Asset Schedule'!J23)</f>
        <v>-347.23557115360325</v>
      </c>
      <c r="K40" s="7">
        <f>-('Asset Schedule'!K23)</f>
        <v>-456.84558122411892</v>
      </c>
      <c r="L40" s="7">
        <f>-('Asset Schedule'!L23)</f>
        <v>-580.41875609117085</v>
      </c>
      <c r="M40" s="9"/>
    </row>
    <row r="41" spans="1:13" x14ac:dyDescent="0.3">
      <c r="B41" t="s">
        <v>130</v>
      </c>
      <c r="C41" s="7">
        <v>-132</v>
      </c>
      <c r="D41" s="7">
        <v>-55</v>
      </c>
      <c r="E41" s="7">
        <v>-277</v>
      </c>
      <c r="F41" s="7">
        <v>-103</v>
      </c>
      <c r="G41" s="7">
        <v>0</v>
      </c>
      <c r="H41" s="7"/>
      <c r="I41" s="7"/>
      <c r="J41" s="7"/>
      <c r="K41" s="7"/>
      <c r="L41" s="7"/>
      <c r="M41" s="9"/>
    </row>
    <row r="42" spans="1:13" x14ac:dyDescent="0.3">
      <c r="B42" t="s">
        <v>131</v>
      </c>
      <c r="C42" s="7">
        <v>5</v>
      </c>
      <c r="D42" s="7">
        <v>3</v>
      </c>
      <c r="E42" s="7">
        <v>25</v>
      </c>
      <c r="F42" s="7">
        <v>18</v>
      </c>
      <c r="G42" s="7">
        <v>39</v>
      </c>
      <c r="H42" s="27">
        <f>-('Asset Schedule'!H29)</f>
        <v>27.971892288766547</v>
      </c>
      <c r="I42" s="27">
        <f>-('Asset Schedule'!I29)</f>
        <v>32.682551588857258</v>
      </c>
      <c r="J42" s="27">
        <f>-('Asset Schedule'!J29)</f>
        <v>30.547064815911877</v>
      </c>
      <c r="K42" s="27">
        <f>-('Asset Schedule'!K29)</f>
        <v>33.690020360729534</v>
      </c>
      <c r="L42" s="27">
        <f>-('Asset Schedule'!L29)</f>
        <v>34.724121025682258</v>
      </c>
      <c r="M42" s="9"/>
    </row>
    <row r="43" spans="1:13" x14ac:dyDescent="0.3">
      <c r="B43" t="s">
        <v>132</v>
      </c>
      <c r="C43" s="7">
        <v>164</v>
      </c>
      <c r="D43" s="7">
        <v>-146</v>
      </c>
      <c r="E43" s="7">
        <v>0</v>
      </c>
      <c r="F43" s="7">
        <v>0</v>
      </c>
      <c r="G43" s="7">
        <v>-46</v>
      </c>
      <c r="H43" s="7"/>
      <c r="I43" s="7"/>
      <c r="J43" s="7"/>
      <c r="K43" s="7"/>
      <c r="L43" s="7"/>
      <c r="M43" s="9"/>
    </row>
    <row r="44" spans="1:13" x14ac:dyDescent="0.3">
      <c r="B44" t="s">
        <v>133</v>
      </c>
      <c r="C44" s="7">
        <v>1</v>
      </c>
      <c r="D44" s="7">
        <v>0</v>
      </c>
      <c r="E44" s="7">
        <v>0</v>
      </c>
      <c r="F44" s="7">
        <v>233</v>
      </c>
      <c r="G44" s="7">
        <v>60</v>
      </c>
      <c r="H44" s="7"/>
      <c r="I44" s="7"/>
      <c r="J44" s="7"/>
      <c r="K44" s="7"/>
      <c r="L44" s="7"/>
      <c r="M44" s="9"/>
    </row>
    <row r="45" spans="1:13" x14ac:dyDescent="0.3">
      <c r="B45" t="s">
        <v>134</v>
      </c>
      <c r="C45" s="7">
        <v>-295</v>
      </c>
      <c r="D45" s="7">
        <v>215</v>
      </c>
      <c r="E45" s="7">
        <v>-130</v>
      </c>
      <c r="F45" s="7">
        <v>147</v>
      </c>
      <c r="G45" s="7">
        <v>-926</v>
      </c>
      <c r="H45" s="7"/>
      <c r="I45" s="7"/>
      <c r="J45" s="7"/>
      <c r="K45" s="7"/>
      <c r="L45" s="7"/>
      <c r="M45" s="9"/>
    </row>
    <row r="46" spans="1:13" x14ac:dyDescent="0.3">
      <c r="B46" t="s">
        <v>135</v>
      </c>
      <c r="C46" s="7">
        <v>0</v>
      </c>
      <c r="D46" s="7">
        <v>3</v>
      </c>
      <c r="E46" s="7">
        <v>-90</v>
      </c>
      <c r="F46" s="7">
        <v>200</v>
      </c>
      <c r="G46" s="7">
        <v>0</v>
      </c>
      <c r="H46" s="7"/>
      <c r="I46" s="7"/>
      <c r="J46" s="7"/>
      <c r="K46" s="7"/>
      <c r="L46" s="7"/>
      <c r="M46" s="9"/>
    </row>
    <row r="47" spans="1:13" x14ac:dyDescent="0.3">
      <c r="B47" t="s">
        <v>136</v>
      </c>
      <c r="C47" s="7">
        <v>-591</v>
      </c>
      <c r="D47" s="7">
        <v>483</v>
      </c>
      <c r="E47" s="7">
        <v>-259</v>
      </c>
      <c r="F47" s="7">
        <v>-232</v>
      </c>
      <c r="G47" s="7">
        <v>343</v>
      </c>
      <c r="H47" s="7"/>
      <c r="I47" s="7"/>
      <c r="J47" s="7"/>
      <c r="K47" s="7"/>
      <c r="L47" s="7"/>
      <c r="M47" s="9"/>
    </row>
    <row r="48" spans="1:13" x14ac:dyDescent="0.3">
      <c r="B48" t="s">
        <v>137</v>
      </c>
      <c r="C48" s="7">
        <v>52</v>
      </c>
      <c r="D48" s="7">
        <v>57</v>
      </c>
      <c r="E48" s="7">
        <v>48</v>
      </c>
      <c r="F48" s="7">
        <v>66</v>
      </c>
      <c r="G48" s="7">
        <v>70</v>
      </c>
      <c r="H48" s="27"/>
      <c r="I48" s="27"/>
      <c r="J48" s="27"/>
      <c r="K48" s="27"/>
      <c r="L48" s="27"/>
      <c r="M48" s="9"/>
    </row>
    <row r="49" spans="2:13" x14ac:dyDescent="0.3">
      <c r="C49" s="7"/>
      <c r="D49" s="7"/>
      <c r="E49" s="7"/>
      <c r="F49" s="7"/>
      <c r="G49" s="7"/>
      <c r="H49" s="7"/>
      <c r="I49" s="7"/>
      <c r="J49" s="7"/>
      <c r="K49" s="7"/>
      <c r="L49" s="7"/>
      <c r="M49" s="9"/>
    </row>
    <row r="50" spans="2:13" x14ac:dyDescent="0.3">
      <c r="B50" s="22" t="s">
        <v>138</v>
      </c>
      <c r="C50" s="18">
        <f>SUM(C40:C48)</f>
        <v>-938</v>
      </c>
      <c r="D50" s="18">
        <f t="shared" ref="D50:L50" si="4">SUM(D40:D48)</f>
        <v>428</v>
      </c>
      <c r="E50" s="18">
        <f t="shared" si="4"/>
        <v>-865</v>
      </c>
      <c r="F50" s="18">
        <f t="shared" si="4"/>
        <v>176</v>
      </c>
      <c r="G50" s="18">
        <f>SUM(G40:G48)</f>
        <v>-621</v>
      </c>
      <c r="H50" s="18">
        <f>SUM(H40:H48)</f>
        <v>-176.52313611563071</v>
      </c>
      <c r="I50" s="18">
        <f t="shared" si="4"/>
        <v>-228.01079172689904</v>
      </c>
      <c r="J50" s="18">
        <f t="shared" si="4"/>
        <v>-316.68850633769136</v>
      </c>
      <c r="K50" s="18">
        <f t="shared" si="4"/>
        <v>-423.15556086338938</v>
      </c>
      <c r="L50" s="18">
        <f t="shared" si="4"/>
        <v>-545.69463506548857</v>
      </c>
      <c r="M50" s="9"/>
    </row>
    <row r="51" spans="2:13" x14ac:dyDescent="0.3">
      <c r="C51" s="7"/>
      <c r="D51" s="7"/>
      <c r="E51" s="7"/>
      <c r="F51" s="7"/>
      <c r="G51" s="7"/>
      <c r="H51" s="7"/>
      <c r="I51" s="7"/>
      <c r="J51" s="7"/>
      <c r="K51" s="7"/>
      <c r="L51" s="7"/>
      <c r="M51" s="9"/>
    </row>
    <row r="52" spans="2:13" x14ac:dyDescent="0.3">
      <c r="B52" s="2" t="s">
        <v>139</v>
      </c>
      <c r="C52" s="7"/>
      <c r="D52" s="7"/>
      <c r="E52" s="7"/>
      <c r="F52" s="7"/>
      <c r="G52" s="7"/>
      <c r="H52" s="7"/>
      <c r="I52" s="7"/>
      <c r="J52" s="7"/>
      <c r="K52" s="7"/>
      <c r="L52" s="7"/>
      <c r="M52" s="9"/>
    </row>
    <row r="53" spans="2:13" x14ac:dyDescent="0.3">
      <c r="C53" s="7"/>
      <c r="D53" s="7"/>
      <c r="E53" s="7"/>
      <c r="F53" s="7"/>
      <c r="G53" s="7"/>
      <c r="H53" s="12"/>
      <c r="I53" s="12"/>
      <c r="J53" s="12"/>
      <c r="K53" s="12"/>
      <c r="L53" s="12"/>
      <c r="M53" s="9"/>
    </row>
    <row r="54" spans="2:13" x14ac:dyDescent="0.3">
      <c r="B54" t="s">
        <v>140</v>
      </c>
      <c r="C54" s="7">
        <v>6</v>
      </c>
      <c r="D54" s="7">
        <v>41</v>
      </c>
      <c r="E54" s="7">
        <v>9</v>
      </c>
      <c r="F54" s="7">
        <v>34</v>
      </c>
      <c r="G54" s="7">
        <v>46</v>
      </c>
      <c r="H54" s="12"/>
      <c r="I54" s="12"/>
      <c r="J54" s="12"/>
      <c r="K54" s="12"/>
      <c r="L54" s="12"/>
      <c r="M54" s="9"/>
    </row>
    <row r="55" spans="2:13" x14ac:dyDescent="0.3">
      <c r="B55" t="s">
        <v>141</v>
      </c>
      <c r="C55" s="7">
        <v>-9</v>
      </c>
      <c r="D55" s="7">
        <v>-8</v>
      </c>
      <c r="E55" s="7">
        <v>4</v>
      </c>
      <c r="F55" s="7">
        <v>2</v>
      </c>
      <c r="G55" s="7">
        <v>-12</v>
      </c>
      <c r="H55" s="12"/>
      <c r="I55" s="12"/>
      <c r="J55" s="12"/>
      <c r="K55" s="12"/>
      <c r="L55" s="12"/>
      <c r="M55" s="9"/>
    </row>
    <row r="56" spans="2:13" x14ac:dyDescent="0.3">
      <c r="B56" t="s">
        <v>243</v>
      </c>
      <c r="C56" s="7">
        <v>13</v>
      </c>
      <c r="D56" s="7">
        <v>0</v>
      </c>
      <c r="E56" s="7">
        <v>128</v>
      </c>
      <c r="F56" s="7">
        <v>0</v>
      </c>
      <c r="G56" s="7">
        <v>0</v>
      </c>
      <c r="H56" s="27">
        <f>'Debt Schedule'!H25</f>
        <v>36.178363256432377</v>
      </c>
      <c r="I56" s="27">
        <f>'Debt Schedule'!I25</f>
        <v>41.520527911819613</v>
      </c>
      <c r="J56" s="27">
        <f>'Debt Schedule'!J25</f>
        <v>48.26462643895568</v>
      </c>
      <c r="K56" s="27">
        <f>'Debt Schedule'!K25</f>
        <v>56.888108694483073</v>
      </c>
      <c r="L56" s="27">
        <f>'Debt Schedule'!L25</f>
        <v>68.06878065405256</v>
      </c>
      <c r="M56" s="9"/>
    </row>
    <row r="57" spans="2:13" x14ac:dyDescent="0.3">
      <c r="B57" t="s">
        <v>244</v>
      </c>
      <c r="C57" s="7">
        <v>0</v>
      </c>
      <c r="D57" s="7">
        <v>-3</v>
      </c>
      <c r="E57" s="7">
        <v>0</v>
      </c>
      <c r="F57" s="7">
        <v>-91</v>
      </c>
      <c r="G57" s="7">
        <v>-5</v>
      </c>
      <c r="H57" s="12">
        <f>'Debt Schedule'!H31</f>
        <v>-20.301832932428876</v>
      </c>
      <c r="I57" s="12">
        <f>'Debt Schedule'!I31</f>
        <v>-21.152288516029298</v>
      </c>
      <c r="J57" s="12">
        <f>'Debt Schedule'!J31</f>
        <v>-22.243350767588801</v>
      </c>
      <c r="K57" s="12">
        <f>'Debt Schedule'!K31</f>
        <v>-23.637228317374465</v>
      </c>
      <c r="L57" s="12">
        <f>'Debt Schedule'!L31</f>
        <v>-25.418372956615194</v>
      </c>
      <c r="M57" s="9"/>
    </row>
    <row r="58" spans="2:13" x14ac:dyDescent="0.3">
      <c r="B58" t="s">
        <v>142</v>
      </c>
      <c r="C58" s="7">
        <v>-22</v>
      </c>
      <c r="D58" s="7">
        <v>-22</v>
      </c>
      <c r="E58" s="7">
        <v>-25</v>
      </c>
      <c r="F58" s="7">
        <v>0</v>
      </c>
      <c r="G58" s="7">
        <v>-47</v>
      </c>
      <c r="H58" s="12"/>
      <c r="I58" s="12"/>
      <c r="J58" s="12"/>
      <c r="K58" s="12"/>
      <c r="L58" s="12"/>
      <c r="M58" s="9"/>
    </row>
    <row r="59" spans="2:13" x14ac:dyDescent="0.3">
      <c r="B59" t="s">
        <v>159</v>
      </c>
      <c r="C59" s="7">
        <v>0</v>
      </c>
      <c r="D59" s="7">
        <v>0</v>
      </c>
      <c r="E59" s="7">
        <v>0</v>
      </c>
      <c r="F59" s="7">
        <v>-141</v>
      </c>
      <c r="G59" s="7">
        <v>-70</v>
      </c>
      <c r="H59" s="12"/>
      <c r="I59" s="12"/>
      <c r="J59" s="12"/>
      <c r="K59" s="12"/>
      <c r="L59" s="12"/>
      <c r="M59" s="9"/>
    </row>
    <row r="60" spans="2:13" x14ac:dyDescent="0.3">
      <c r="B60" t="s">
        <v>143</v>
      </c>
      <c r="C60" s="7">
        <v>-21</v>
      </c>
      <c r="D60" s="7">
        <v>-28</v>
      </c>
      <c r="E60" s="7">
        <v>-42</v>
      </c>
      <c r="F60" s="7">
        <v>-54</v>
      </c>
      <c r="G60" s="7">
        <v>-51</v>
      </c>
      <c r="H60" s="12">
        <f>-(400.83)</f>
        <v>-400.83</v>
      </c>
      <c r="I60" s="12">
        <f>-('Debt Schedule'!I37)</f>
        <v>-61.60618364619264</v>
      </c>
      <c r="J60" s="12">
        <f>-('Debt Schedule'!J37)</f>
        <v>-65.133903488061506</v>
      </c>
      <c r="K60" s="12">
        <f>-('Debt Schedule'!K37)</f>
        <v>-69.641291863642735</v>
      </c>
      <c r="L60" s="12">
        <f>-('Debt Schedule'!L37)</f>
        <v>-75.413253040135999</v>
      </c>
      <c r="M60" s="9"/>
    </row>
    <row r="61" spans="2:13" x14ac:dyDescent="0.3">
      <c r="B61" t="s">
        <v>144</v>
      </c>
      <c r="C61" s="7">
        <v>-44</v>
      </c>
      <c r="D61" s="7">
        <v>-64</v>
      </c>
      <c r="E61" s="7">
        <v>-41</v>
      </c>
      <c r="F61" s="7">
        <v>-52</v>
      </c>
      <c r="G61" s="7">
        <v>-43</v>
      </c>
      <c r="H61" s="12"/>
      <c r="I61" s="12"/>
      <c r="J61" s="12"/>
      <c r="K61" s="12"/>
      <c r="L61" s="12"/>
      <c r="M61" s="9"/>
    </row>
    <row r="62" spans="2:13" x14ac:dyDescent="0.3">
      <c r="B62" t="s">
        <v>145</v>
      </c>
      <c r="C62" s="7">
        <v>-13</v>
      </c>
      <c r="D62" s="7">
        <v>-11</v>
      </c>
      <c r="E62" s="7">
        <v>-11</v>
      </c>
      <c r="F62" s="7">
        <v>-11</v>
      </c>
      <c r="G62" s="7">
        <v>-14</v>
      </c>
      <c r="H62" s="12"/>
      <c r="I62" s="12"/>
      <c r="J62" s="12"/>
      <c r="K62" s="12"/>
      <c r="L62" s="12"/>
      <c r="M62" s="9"/>
    </row>
    <row r="63" spans="2:13" x14ac:dyDescent="0.3">
      <c r="B63" t="s">
        <v>146</v>
      </c>
      <c r="C63" s="7">
        <v>-968</v>
      </c>
      <c r="D63" s="7">
        <v>-1195</v>
      </c>
      <c r="E63" s="7">
        <v>-582</v>
      </c>
      <c r="F63" s="7">
        <v>-1229</v>
      </c>
      <c r="G63" s="7">
        <v>-453</v>
      </c>
      <c r="H63" s="12">
        <f>G63</f>
        <v>-453</v>
      </c>
      <c r="I63" s="12">
        <f t="shared" ref="I63:L63" si="5">H63</f>
        <v>-453</v>
      </c>
      <c r="J63" s="12">
        <f t="shared" si="5"/>
        <v>-453</v>
      </c>
      <c r="K63" s="12">
        <f t="shared" si="5"/>
        <v>-453</v>
      </c>
      <c r="L63" s="12">
        <f t="shared" si="5"/>
        <v>-453</v>
      </c>
      <c r="M63" s="9"/>
    </row>
    <row r="64" spans="2:13" x14ac:dyDescent="0.3">
      <c r="C64" s="7"/>
      <c r="D64" s="7"/>
      <c r="H64" s="12"/>
      <c r="I64" s="12"/>
      <c r="J64" s="12"/>
      <c r="K64" s="12"/>
      <c r="L64" s="12"/>
      <c r="M64" s="9"/>
    </row>
    <row r="65" spans="2:13" x14ac:dyDescent="0.3">
      <c r="B65" s="22" t="s">
        <v>147</v>
      </c>
      <c r="C65" s="18">
        <f>SUM(C54:C63)</f>
        <v>-1058</v>
      </c>
      <c r="D65" s="18">
        <f t="shared" ref="D65:L65" si="6">SUM(D54:D63)</f>
        <v>-1290</v>
      </c>
      <c r="E65" s="18">
        <f>SUM(E54:E63)</f>
        <v>-560</v>
      </c>
      <c r="F65" s="18">
        <f>SUM(F54:F63)</f>
        <v>-1542</v>
      </c>
      <c r="G65" s="18">
        <f>SUM(G54:G63)</f>
        <v>-649</v>
      </c>
      <c r="H65" s="18">
        <f t="shared" si="6"/>
        <v>-837.95346967599653</v>
      </c>
      <c r="I65" s="18">
        <f t="shared" si="6"/>
        <v>-494.23794425040234</v>
      </c>
      <c r="J65" s="18">
        <f t="shared" si="6"/>
        <v>-492.11262781669461</v>
      </c>
      <c r="K65" s="18">
        <f t="shared" si="6"/>
        <v>-489.39041148653411</v>
      </c>
      <c r="L65" s="18">
        <f t="shared" si="6"/>
        <v>-485.76284534269865</v>
      </c>
      <c r="M65" s="9"/>
    </row>
    <row r="66" spans="2:13" x14ac:dyDescent="0.3">
      <c r="B66" t="s">
        <v>156</v>
      </c>
      <c r="C66" s="7">
        <v>5</v>
      </c>
      <c r="D66" s="7">
        <v>8</v>
      </c>
      <c r="E66" s="7">
        <v>-63</v>
      </c>
      <c r="F66" s="7"/>
      <c r="G66" s="7"/>
      <c r="H66" s="7"/>
      <c r="I66" s="7"/>
      <c r="J66" s="7"/>
      <c r="K66" s="7"/>
      <c r="L66" s="7"/>
      <c r="M66" s="9"/>
    </row>
    <row r="67" spans="2:13" x14ac:dyDescent="0.3">
      <c r="B67" s="23" t="s">
        <v>148</v>
      </c>
      <c r="C67" s="25">
        <f t="shared" ref="C67" si="7">SUM(C36,C50,C65+C66)</f>
        <v>-77</v>
      </c>
      <c r="D67" s="25">
        <f>SUM(D36,D50,D65+D66)</f>
        <v>156</v>
      </c>
      <c r="E67" s="25">
        <f>SUM(E36,E50,E65+E66)</f>
        <v>-80</v>
      </c>
      <c r="F67" s="25">
        <f t="shared" ref="F67" si="8">SUM(F36,F50,F65+F66)</f>
        <v>200</v>
      </c>
      <c r="G67" s="25">
        <f t="shared" ref="G67" si="9">SUM(G36,G50,G65+G66)</f>
        <v>-144</v>
      </c>
      <c r="H67" s="25">
        <f>SUM(H36,H50,H65)</f>
        <v>1491.7137917843243</v>
      </c>
      <c r="I67" s="25">
        <v>652.58000000000004</v>
      </c>
      <c r="J67" s="25">
        <f t="shared" ref="J67" si="10">SUM(J36,J50,J65+J66)</f>
        <v>2305.4104860930665</v>
      </c>
      <c r="K67" s="25">
        <v>1812.51</v>
      </c>
      <c r="L67" s="25">
        <v>-414.26</v>
      </c>
      <c r="M67" s="9"/>
    </row>
    <row r="68" spans="2:13" x14ac:dyDescent="0.3">
      <c r="B68" t="s">
        <v>149</v>
      </c>
      <c r="C68" s="7">
        <v>93</v>
      </c>
      <c r="D68" s="7">
        <v>109</v>
      </c>
      <c r="E68" s="7">
        <v>276</v>
      </c>
      <c r="F68" s="7">
        <v>207</v>
      </c>
      <c r="G68" s="7">
        <v>228</v>
      </c>
      <c r="H68" s="7">
        <v>321</v>
      </c>
      <c r="I68" s="7">
        <f>H70</f>
        <v>2148.7800000000002</v>
      </c>
      <c r="J68" s="7">
        <f t="shared" ref="J68:L68" si="11">I70</f>
        <v>2994.86</v>
      </c>
      <c r="K68" s="7">
        <f t="shared" si="11"/>
        <v>5300.2704860930662</v>
      </c>
      <c r="L68" s="7">
        <f t="shared" si="11"/>
        <v>7294.55</v>
      </c>
      <c r="M68" s="9"/>
    </row>
    <row r="69" spans="2:13" x14ac:dyDescent="0.3">
      <c r="B69" t="s">
        <v>157</v>
      </c>
      <c r="C69" s="7"/>
      <c r="D69" s="7">
        <v>11</v>
      </c>
      <c r="E69" s="7"/>
      <c r="F69" s="7"/>
      <c r="G69" s="7"/>
      <c r="H69" s="7"/>
      <c r="I69" s="7"/>
      <c r="J69" s="7"/>
      <c r="K69" s="7"/>
      <c r="L69" s="7"/>
      <c r="M69" s="9"/>
    </row>
    <row r="70" spans="2:13" x14ac:dyDescent="0.3">
      <c r="B70" s="24" t="s">
        <v>150</v>
      </c>
      <c r="C70" s="21">
        <v>109</v>
      </c>
      <c r="D70" s="21">
        <f>SUM(D67:D69)</f>
        <v>276</v>
      </c>
      <c r="E70" s="21">
        <v>207</v>
      </c>
      <c r="F70" s="21">
        <v>228</v>
      </c>
      <c r="G70" s="21">
        <v>321</v>
      </c>
      <c r="H70" s="21">
        <v>2148.7800000000002</v>
      </c>
      <c r="I70" s="21">
        <v>2994.86</v>
      </c>
      <c r="J70" s="21">
        <f t="shared" ref="J70" si="12">SUM(J67:J69)</f>
        <v>5300.2704860930662</v>
      </c>
      <c r="K70" s="21">
        <v>7294.55</v>
      </c>
      <c r="L70" s="21">
        <v>6880.29</v>
      </c>
      <c r="M70" s="9"/>
    </row>
    <row r="71" spans="2:13" x14ac:dyDescent="0.3">
      <c r="C71" s="7"/>
      <c r="D71" s="7"/>
      <c r="E71" s="7"/>
      <c r="F71" s="7"/>
      <c r="G71" s="7"/>
      <c r="H71" s="7"/>
      <c r="I71" s="7"/>
      <c r="J71" s="7"/>
      <c r="K71" s="7"/>
      <c r="L71" s="7"/>
      <c r="M71" s="9"/>
    </row>
    <row r="72" spans="2:13" x14ac:dyDescent="0.3">
      <c r="C72" s="7"/>
      <c r="D72" s="7"/>
      <c r="E72" s="7"/>
      <c r="F72" s="7"/>
      <c r="G72" s="7"/>
      <c r="H72" s="7"/>
      <c r="I72" s="7"/>
      <c r="J72" s="7"/>
      <c r="K72" s="7"/>
      <c r="L72" s="7"/>
      <c r="M72" s="9"/>
    </row>
    <row r="73" spans="2:13" x14ac:dyDescent="0.3">
      <c r="C73" s="7"/>
      <c r="D73" s="7"/>
      <c r="E73" s="7"/>
      <c r="F73" s="7"/>
      <c r="G73" s="7"/>
      <c r="H73" s="7"/>
      <c r="I73" s="7"/>
      <c r="J73" s="7"/>
      <c r="K73" s="7"/>
      <c r="L73" s="71"/>
      <c r="M73" s="9"/>
    </row>
    <row r="74" spans="2:13" x14ac:dyDescent="0.3">
      <c r="C74" s="7"/>
      <c r="D74" s="7"/>
      <c r="E74" s="7"/>
      <c r="F74" s="7"/>
      <c r="G74" s="7"/>
      <c r="H74" s="7"/>
      <c r="I74" s="7"/>
      <c r="J74" s="7"/>
      <c r="K74" s="7"/>
      <c r="L74" s="7"/>
      <c r="M74" s="9"/>
    </row>
    <row r="75" spans="2:13" x14ac:dyDescent="0.3">
      <c r="C75" s="7"/>
      <c r="D75" s="7"/>
      <c r="E75" s="7"/>
      <c r="F75" s="7"/>
      <c r="G75" s="7"/>
      <c r="H75" s="7"/>
      <c r="I75" s="7"/>
      <c r="J75" s="7"/>
      <c r="K75" s="7"/>
      <c r="L75" s="7"/>
      <c r="M75" s="9"/>
    </row>
    <row r="76" spans="2:13" x14ac:dyDescent="0.3">
      <c r="C76" s="9"/>
      <c r="D76" s="9"/>
      <c r="E76" s="9"/>
      <c r="F76" s="9"/>
      <c r="G76" s="9"/>
      <c r="H76" s="9"/>
      <c r="I76" s="9"/>
      <c r="J76" s="9"/>
      <c r="K76" s="9"/>
      <c r="L76" s="9"/>
      <c r="M76" s="9"/>
    </row>
    <row r="77" spans="2:13" x14ac:dyDescent="0.3">
      <c r="C77" s="9"/>
      <c r="D77" s="9"/>
      <c r="E77" s="9"/>
      <c r="F77" s="9"/>
      <c r="G77" s="9"/>
      <c r="H77" s="9"/>
      <c r="I77" s="9"/>
      <c r="J77" s="9"/>
      <c r="K77" s="9"/>
      <c r="L77" s="9"/>
      <c r="M77" s="9"/>
    </row>
    <row r="78" spans="2:13" x14ac:dyDescent="0.3">
      <c r="C78" s="9"/>
      <c r="D78" s="9"/>
      <c r="E78" s="9"/>
      <c r="F78" s="9"/>
      <c r="G78" s="9"/>
      <c r="H78" s="9"/>
      <c r="I78" s="9"/>
      <c r="J78" s="9"/>
      <c r="K78" s="9"/>
      <c r="L78" s="9"/>
      <c r="M78" s="9"/>
    </row>
    <row r="79" spans="2:13" x14ac:dyDescent="0.3">
      <c r="C79" s="9"/>
      <c r="D79" s="9"/>
      <c r="E79" s="9"/>
      <c r="F79" s="9"/>
      <c r="G79" s="9"/>
      <c r="H79" s="9"/>
      <c r="I79" s="9"/>
      <c r="J79" s="9"/>
      <c r="K79" s="9"/>
      <c r="L79" s="9"/>
      <c r="M79" s="9"/>
    </row>
    <row r="80" spans="2:13" x14ac:dyDescent="0.3">
      <c r="C80" s="9"/>
      <c r="D80" s="9"/>
      <c r="E80" s="9"/>
      <c r="F80" s="9"/>
      <c r="G80" s="9"/>
      <c r="H80" s="9"/>
      <c r="I80" s="9"/>
      <c r="J80" s="9"/>
      <c r="K80" s="9"/>
      <c r="L80" s="9"/>
      <c r="M80" s="9"/>
    </row>
    <row r="81" spans="3:13" x14ac:dyDescent="0.3">
      <c r="C81" s="9"/>
      <c r="D81" s="9"/>
      <c r="E81" s="9"/>
      <c r="F81" s="9"/>
      <c r="G81" s="9"/>
      <c r="H81" s="9"/>
      <c r="I81" s="9"/>
      <c r="J81" s="9"/>
      <c r="K81" s="9"/>
      <c r="L81" s="9"/>
      <c r="M81" s="9"/>
    </row>
    <row r="82" spans="3:13" x14ac:dyDescent="0.3">
      <c r="C82" s="9"/>
      <c r="D82" s="9"/>
      <c r="E82" s="9"/>
      <c r="F82" s="9"/>
      <c r="G82" s="9"/>
      <c r="H82" s="9"/>
      <c r="I82" s="9"/>
      <c r="J82" s="9"/>
      <c r="K82" s="9"/>
      <c r="L82" s="9"/>
      <c r="M82" s="9"/>
    </row>
    <row r="83" spans="3:13" x14ac:dyDescent="0.3">
      <c r="C83" s="9"/>
      <c r="D83" s="9"/>
      <c r="E83" s="9"/>
      <c r="F83" s="9"/>
      <c r="G83" s="9"/>
      <c r="H83" s="9"/>
      <c r="I83" s="9"/>
      <c r="J83" s="9"/>
      <c r="K83" s="9"/>
      <c r="L83" s="9"/>
      <c r="M83" s="9"/>
    </row>
    <row r="84" spans="3:13" x14ac:dyDescent="0.3">
      <c r="C84" s="9"/>
      <c r="D84" s="9"/>
      <c r="E84" s="9"/>
      <c r="F84" s="9"/>
      <c r="G84" s="9"/>
      <c r="H84" s="9"/>
      <c r="I84" s="9"/>
      <c r="J84" s="9"/>
      <c r="K84" s="9"/>
      <c r="L84" s="9"/>
      <c r="M84" s="9"/>
    </row>
    <row r="85" spans="3:13" x14ac:dyDescent="0.3">
      <c r="C85" s="9"/>
      <c r="D85" s="9"/>
      <c r="E85" s="9"/>
      <c r="F85" s="9"/>
      <c r="G85" s="9"/>
      <c r="H85" s="9"/>
      <c r="I85" s="9"/>
      <c r="J85" s="9"/>
      <c r="K85" s="9"/>
      <c r="L85" s="9"/>
      <c r="M85" s="9"/>
    </row>
    <row r="86" spans="3:13" x14ac:dyDescent="0.3">
      <c r="C86" s="9"/>
      <c r="D86" s="9"/>
      <c r="E86" s="9"/>
      <c r="F86" s="9"/>
      <c r="G86" s="9"/>
      <c r="H86" s="9"/>
      <c r="I86" s="9"/>
      <c r="J86" s="9"/>
      <c r="K86" s="9"/>
      <c r="L86" s="9"/>
      <c r="M86" s="9"/>
    </row>
    <row r="87" spans="3:13" x14ac:dyDescent="0.3">
      <c r="C87" s="9"/>
      <c r="D87" s="9"/>
      <c r="E87" s="9"/>
      <c r="F87" s="9"/>
      <c r="G87" s="9"/>
      <c r="H87" s="9"/>
      <c r="I87" s="9"/>
      <c r="J87" s="9"/>
      <c r="K87" s="9"/>
      <c r="L87" s="9"/>
      <c r="M87" s="9"/>
    </row>
    <row r="88" spans="3:13" x14ac:dyDescent="0.3">
      <c r="C88" s="9"/>
      <c r="D88" s="9"/>
      <c r="E88" s="9"/>
      <c r="F88" s="9"/>
      <c r="G88" s="9"/>
      <c r="H88" s="9"/>
      <c r="I88" s="9"/>
      <c r="J88" s="9"/>
      <c r="K88" s="9"/>
      <c r="L88" s="9"/>
      <c r="M88" s="9"/>
    </row>
    <row r="89" spans="3:13" x14ac:dyDescent="0.3">
      <c r="C89" s="9"/>
      <c r="D89" s="9"/>
      <c r="E89" s="9"/>
      <c r="F89" s="9"/>
      <c r="G89" s="9"/>
      <c r="H89" s="9"/>
      <c r="I89" s="9"/>
      <c r="J89" s="9"/>
      <c r="K89" s="9"/>
      <c r="L89" s="9"/>
      <c r="M89" s="9"/>
    </row>
    <row r="90" spans="3:13" x14ac:dyDescent="0.3">
      <c r="C90" s="9"/>
      <c r="D90" s="9"/>
      <c r="E90" s="9"/>
      <c r="F90" s="9"/>
      <c r="G90" s="9"/>
      <c r="H90" s="9"/>
      <c r="I90" s="9"/>
      <c r="J90" s="9"/>
      <c r="K90" s="9"/>
      <c r="L90" s="9"/>
      <c r="M90" s="9"/>
    </row>
    <row r="91" spans="3:13" x14ac:dyDescent="0.3">
      <c r="C91" s="9"/>
      <c r="D91" s="9"/>
      <c r="E91" s="9"/>
      <c r="F91" s="9"/>
      <c r="G91" s="9"/>
      <c r="H91" s="9"/>
      <c r="I91" s="9"/>
      <c r="J91" s="9"/>
      <c r="K91" s="9"/>
      <c r="L91" s="9"/>
      <c r="M91" s="9"/>
    </row>
    <row r="92" spans="3:13" x14ac:dyDescent="0.3">
      <c r="C92" s="9"/>
      <c r="D92" s="9"/>
      <c r="E92" s="9"/>
      <c r="F92" s="9"/>
      <c r="G92" s="9"/>
      <c r="H92" s="9"/>
      <c r="I92" s="9"/>
      <c r="J92" s="9"/>
      <c r="K92" s="9"/>
      <c r="L92" s="9"/>
      <c r="M92" s="9"/>
    </row>
    <row r="93" spans="3:13" x14ac:dyDescent="0.3">
      <c r="C93" s="9"/>
      <c r="D93" s="9"/>
      <c r="E93" s="9"/>
      <c r="F93" s="9"/>
      <c r="G93" s="9"/>
      <c r="H93" s="9"/>
      <c r="I93" s="9"/>
      <c r="J93" s="9"/>
      <c r="K93" s="9"/>
      <c r="L93" s="9"/>
      <c r="M93" s="9"/>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B9BC-F703-466C-8AB6-CB10ED2C70ED}">
  <dimension ref="B2:Z71"/>
  <sheetViews>
    <sheetView zoomScale="53" workbookViewId="0">
      <selection activeCell="D52" sqref="D52:G52"/>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23.44140625" customWidth="1"/>
    <col min="14" max="14" width="12.33203125" customWidth="1"/>
    <col min="15" max="15" width="10.77734375" customWidth="1"/>
  </cols>
  <sheetData>
    <row r="2" spans="2:26" x14ac:dyDescent="0.3">
      <c r="E2" s="124" t="s">
        <v>0</v>
      </c>
      <c r="F2" s="125"/>
      <c r="G2" s="125"/>
      <c r="H2" s="125"/>
    </row>
    <row r="3" spans="2:26" x14ac:dyDescent="0.3">
      <c r="E3" s="125"/>
      <c r="F3" s="125"/>
      <c r="G3" s="125"/>
      <c r="H3" s="125"/>
    </row>
    <row r="4" spans="2:26" x14ac:dyDescent="0.3">
      <c r="E4" s="125"/>
      <c r="F4" s="125"/>
      <c r="G4" s="125"/>
      <c r="H4" s="125"/>
    </row>
    <row r="5" spans="2:26" x14ac:dyDescent="0.3">
      <c r="E5" s="125"/>
      <c r="F5" s="125"/>
      <c r="G5" s="125"/>
      <c r="H5" s="125"/>
    </row>
    <row r="9" spans="2:26" ht="15" thickBot="1" x14ac:dyDescent="0.35"/>
    <row r="10" spans="2:26" ht="14.4" customHeight="1" x14ac:dyDescent="0.3">
      <c r="B10" s="127" t="s">
        <v>1</v>
      </c>
      <c r="C10" s="120" t="s">
        <v>2</v>
      </c>
      <c r="D10" s="120" t="s">
        <v>3</v>
      </c>
      <c r="E10" s="120" t="s">
        <v>4</v>
      </c>
      <c r="F10" s="120" t="s">
        <v>5</v>
      </c>
      <c r="G10" s="120" t="s">
        <v>6</v>
      </c>
      <c r="H10" s="120" t="s">
        <v>16</v>
      </c>
      <c r="I10" s="120" t="s">
        <v>17</v>
      </c>
      <c r="J10" s="120" t="s">
        <v>18</v>
      </c>
      <c r="K10" s="120" t="s">
        <v>19</v>
      </c>
      <c r="L10" s="138" t="s">
        <v>20</v>
      </c>
      <c r="M10" s="134" t="s">
        <v>304</v>
      </c>
      <c r="N10" s="136" t="s">
        <v>305</v>
      </c>
    </row>
    <row r="11" spans="2:26" ht="15" customHeight="1" thickBot="1" x14ac:dyDescent="0.35">
      <c r="B11" s="128"/>
      <c r="C11" s="121"/>
      <c r="D11" s="121"/>
      <c r="E11" s="121"/>
      <c r="F11" s="121"/>
      <c r="G11" s="121"/>
      <c r="H11" s="126"/>
      <c r="I11" s="121"/>
      <c r="J11" s="121"/>
      <c r="K11" s="121"/>
      <c r="L11" s="139"/>
      <c r="M11" s="135"/>
      <c r="N11" s="137"/>
    </row>
    <row r="12" spans="2:26" ht="15" thickBot="1" x14ac:dyDescent="0.35">
      <c r="B12" s="35" t="s">
        <v>160</v>
      </c>
      <c r="M12" s="89"/>
      <c r="N12" s="91"/>
    </row>
    <row r="13" spans="2:26" ht="27" customHeight="1" x14ac:dyDescent="0.3">
      <c r="B13" s="28" t="s">
        <v>161</v>
      </c>
      <c r="C13" s="42">
        <f>'Income statement'!C12</f>
        <v>0</v>
      </c>
      <c r="D13" s="42">
        <f>'Income statement'!D12</f>
        <v>0.18190854870775341</v>
      </c>
      <c r="E13" s="42">
        <f>'Income statement'!E12</f>
        <v>2.6492851135407891E-2</v>
      </c>
      <c r="F13" s="42">
        <f>'Income statement'!F12</f>
        <v>-1.1368291683736209E-2</v>
      </c>
      <c r="G13" s="42">
        <f>'Income statement'!G12</f>
        <v>0.12203460064228744</v>
      </c>
      <c r="H13" s="42">
        <f>'Income statement'!H12</f>
        <v>0.13423806070651612</v>
      </c>
      <c r="I13" s="42">
        <f>'Income statement'!I12</f>
        <v>0.14766186677716786</v>
      </c>
      <c r="J13" s="42">
        <f>'Income statement'!J12</f>
        <v>0.16242805345488454</v>
      </c>
      <c r="K13" s="42">
        <f>'Income statement'!K12</f>
        <v>0.17867085880037292</v>
      </c>
      <c r="L13" s="42">
        <f>'Income statement'!L12</f>
        <v>0.1965379446804103</v>
      </c>
      <c r="M13" s="92"/>
      <c r="N13" s="90">
        <f>MEDIAN(C13:L13)</f>
        <v>0.14094996374184199</v>
      </c>
      <c r="R13" s="9"/>
      <c r="S13" s="9"/>
      <c r="T13" s="9"/>
      <c r="U13" s="9"/>
      <c r="V13" s="9"/>
      <c r="W13" s="9"/>
      <c r="X13" s="9"/>
      <c r="Y13" s="9"/>
      <c r="Z13" s="9"/>
    </row>
    <row r="14" spans="2:26" ht="26.4" customHeight="1" x14ac:dyDescent="0.3">
      <c r="B14" s="28" t="s">
        <v>303</v>
      </c>
      <c r="C14" s="41"/>
      <c r="D14" s="42">
        <v>7.8877713075701461E-2</v>
      </c>
      <c r="E14" s="42">
        <v>8.2679097154072512E-2</v>
      </c>
      <c r="F14" s="42">
        <v>0.11148878314072053</v>
      </c>
      <c r="G14" s="42">
        <v>0.10968399592252798</v>
      </c>
      <c r="H14" s="42">
        <v>6.5573939155356253E-2</v>
      </c>
      <c r="I14" s="42">
        <v>0.14896631565237284</v>
      </c>
      <c r="J14" s="42">
        <v>0.18414020918668084</v>
      </c>
      <c r="K14" s="42">
        <v>0.19312146775366634</v>
      </c>
      <c r="L14" s="42">
        <v>0.18635072146073339</v>
      </c>
      <c r="M14" s="92"/>
      <c r="N14" s="90">
        <f t="shared" ref="N14:N53" si="0">MEDIAN(C14:L14)</f>
        <v>0.11148878314072053</v>
      </c>
      <c r="R14" s="9"/>
      <c r="S14" s="9"/>
      <c r="T14" s="9"/>
      <c r="U14" s="9"/>
      <c r="V14" s="9"/>
      <c r="W14" s="9"/>
      <c r="X14" s="9"/>
      <c r="Y14" s="9"/>
      <c r="Z14" s="9"/>
    </row>
    <row r="15" spans="2:26" ht="28.8" customHeight="1" x14ac:dyDescent="0.3">
      <c r="B15" s="28" t="s">
        <v>162</v>
      </c>
      <c r="C15" s="41"/>
      <c r="D15" s="42">
        <f>D59/C59-1</f>
        <v>4.8938679245283057E-2</v>
      </c>
      <c r="E15" s="42">
        <f t="shared" ref="E15:L15" si="1">E59/D59-1</f>
        <v>9.8369870713884255E-2</v>
      </c>
      <c r="F15" s="42">
        <f t="shared" si="1"/>
        <v>0.1095189355168884</v>
      </c>
      <c r="G15" s="42">
        <f t="shared" si="1"/>
        <v>-1.3376383763837651E-2</v>
      </c>
      <c r="H15" s="42">
        <f t="shared" si="1"/>
        <v>0.11093864917582485</v>
      </c>
      <c r="I15" s="42">
        <f t="shared" si="1"/>
        <v>0.15084568399289244</v>
      </c>
      <c r="J15" s="42">
        <f t="shared" si="1"/>
        <v>0.2153351845915612</v>
      </c>
      <c r="K15" s="42">
        <f t="shared" si="1"/>
        <v>0.21297957548023239</v>
      </c>
      <c r="L15" s="42">
        <f t="shared" si="1"/>
        <v>0.17274734884800824</v>
      </c>
      <c r="M15" s="92"/>
      <c r="N15" s="90">
        <f t="shared" si="0"/>
        <v>0.11093864917582485</v>
      </c>
      <c r="R15" s="9"/>
      <c r="S15" s="9"/>
      <c r="T15" s="9"/>
      <c r="U15" s="9"/>
      <c r="V15" s="9"/>
      <c r="W15" s="9"/>
      <c r="X15" s="9"/>
      <c r="Y15" s="9"/>
      <c r="Z15" s="9"/>
    </row>
    <row r="16" spans="2:26" ht="31.8" customHeight="1" x14ac:dyDescent="0.3">
      <c r="B16" s="28" t="s">
        <v>163</v>
      </c>
      <c r="C16" s="41"/>
      <c r="D16" s="42">
        <f>D58/C58-1</f>
        <v>6.0802069857697205E-2</v>
      </c>
      <c r="E16" s="42">
        <f t="shared" ref="E16:L16" si="2">E58/D58-1</f>
        <v>9.6951219512195097E-2</v>
      </c>
      <c r="F16" s="42">
        <f t="shared" si="2"/>
        <v>0.11728738187882159</v>
      </c>
      <c r="G16" s="42">
        <f t="shared" si="2"/>
        <v>-2.437810945273633E-2</v>
      </c>
      <c r="H16" s="42">
        <f t="shared" si="2"/>
        <v>9.6404405716524311E-2</v>
      </c>
      <c r="I16" s="42">
        <f t="shared" si="2"/>
        <v>0.16640164419870174</v>
      </c>
      <c r="J16" s="42">
        <f t="shared" si="2"/>
        <v>0.23113628450719492</v>
      </c>
      <c r="K16" s="42">
        <f t="shared" si="2"/>
        <v>0.2227773028894271</v>
      </c>
      <c r="L16" s="42">
        <f t="shared" si="2"/>
        <v>0.17635675248960747</v>
      </c>
      <c r="M16" s="92"/>
      <c r="N16" s="90">
        <f t="shared" si="0"/>
        <v>0.11728738187882159</v>
      </c>
      <c r="R16" s="9"/>
      <c r="S16" s="9"/>
      <c r="T16" s="9"/>
      <c r="U16" s="9"/>
      <c r="V16" s="9"/>
      <c r="W16" s="9"/>
      <c r="X16" s="9"/>
      <c r="Y16" s="9"/>
      <c r="Z16" s="9"/>
    </row>
    <row r="17" spans="2:26" ht="25.8" customHeight="1" x14ac:dyDescent="0.3">
      <c r="B17" s="28" t="s">
        <v>164</v>
      </c>
      <c r="C17" s="9"/>
      <c r="D17" s="42">
        <f>'Income statement'!D29/'Income statement'!C29-1</f>
        <v>6.0264900662251764E-2</v>
      </c>
      <c r="E17" s="42">
        <f>'Income statement'!E29/'Income statement'!D29-1</f>
        <v>8.8694565896314748E-2</v>
      </c>
      <c r="F17" s="42">
        <f>'Income statement'!F29/'Income statement'!E29-1</f>
        <v>0.11130235226620777</v>
      </c>
      <c r="G17" s="42">
        <f>'Income statement'!G29/'Income statement'!F29-1</f>
        <v>-1.4971605575632374E-2</v>
      </c>
      <c r="H17" s="42">
        <f>'Income statement'!H29/'Income statement'!G29-1</f>
        <v>9.6016306219640191E-2</v>
      </c>
      <c r="I17" s="42">
        <f>'Income statement'!I29/'Income statement'!H29-1</f>
        <v>0.16976644496129589</v>
      </c>
      <c r="J17" s="42">
        <f>'Income statement'!J29/'Income statement'!I29-1</f>
        <v>0.23551517455314364</v>
      </c>
      <c r="K17" s="42">
        <f>'Income statement'!K29/'Income statement'!J29-1</f>
        <v>0.2260869844150839</v>
      </c>
      <c r="L17" s="42">
        <f>'Income statement'!L29/'Income statement'!K29-1</f>
        <v>0.17811346404832618</v>
      </c>
      <c r="M17" s="92"/>
      <c r="N17" s="90">
        <f t="shared" si="0"/>
        <v>0.11130235226620777</v>
      </c>
      <c r="R17" s="9"/>
      <c r="S17" s="9"/>
      <c r="T17" s="9"/>
      <c r="U17" s="9"/>
      <c r="V17" s="9"/>
      <c r="W17" s="9"/>
      <c r="X17" s="9"/>
      <c r="Y17" s="9"/>
      <c r="Z17" s="9"/>
    </row>
    <row r="18" spans="2:26" ht="15" thickBot="1" x14ac:dyDescent="0.35">
      <c r="B18" s="29"/>
      <c r="C18" s="9"/>
      <c r="D18" s="9"/>
      <c r="E18" s="9"/>
      <c r="F18" s="9"/>
      <c r="G18" s="9"/>
      <c r="H18" s="9"/>
      <c r="I18" s="9"/>
      <c r="J18" s="9"/>
      <c r="K18" s="9"/>
      <c r="L18" s="9"/>
      <c r="M18" s="92"/>
      <c r="N18" s="90"/>
      <c r="R18" s="9"/>
      <c r="S18" s="9"/>
      <c r="T18" s="9"/>
      <c r="U18" s="9"/>
      <c r="V18" s="9"/>
      <c r="W18" s="9"/>
      <c r="X18" s="9"/>
      <c r="Y18" s="9"/>
      <c r="Z18" s="9"/>
    </row>
    <row r="19" spans="2:26" ht="15" thickBot="1" x14ac:dyDescent="0.35">
      <c r="B19" s="30"/>
      <c r="C19" s="9"/>
      <c r="D19" s="9"/>
      <c r="E19" s="9"/>
      <c r="F19" s="9"/>
      <c r="G19" s="9"/>
      <c r="H19" s="9"/>
      <c r="I19" s="9"/>
      <c r="J19" s="9"/>
      <c r="K19" s="9"/>
      <c r="L19" s="9"/>
      <c r="M19" s="92"/>
      <c r="N19" s="90"/>
      <c r="O19" s="9"/>
      <c r="P19" s="9"/>
      <c r="Q19" s="9"/>
      <c r="R19" s="9"/>
      <c r="S19" s="9"/>
      <c r="T19" s="9"/>
      <c r="U19" s="9"/>
      <c r="V19" s="9"/>
      <c r="W19" s="9"/>
      <c r="X19" s="9"/>
      <c r="Y19" s="9"/>
      <c r="Z19" s="9"/>
    </row>
    <row r="20" spans="2:26" ht="15" thickBot="1" x14ac:dyDescent="0.35">
      <c r="B20" s="35" t="s">
        <v>165</v>
      </c>
      <c r="C20" s="9"/>
      <c r="D20" s="9"/>
      <c r="E20" s="9"/>
      <c r="F20" s="9"/>
      <c r="G20" s="9"/>
      <c r="H20" s="9"/>
      <c r="I20" s="9"/>
      <c r="J20" s="9"/>
      <c r="K20" s="9"/>
      <c r="L20" s="9"/>
      <c r="M20" s="92"/>
      <c r="N20" s="90"/>
      <c r="O20" s="9"/>
      <c r="P20" s="9"/>
      <c r="Q20" s="9"/>
      <c r="R20" s="9"/>
      <c r="S20" s="9"/>
      <c r="T20" s="9"/>
      <c r="U20" s="9"/>
      <c r="V20" s="9"/>
      <c r="W20" s="9"/>
      <c r="X20" s="9"/>
      <c r="Y20" s="9"/>
      <c r="Z20" s="9"/>
    </row>
    <row r="21" spans="2:26" ht="30.6" customHeight="1" x14ac:dyDescent="0.3">
      <c r="B21" s="31" t="s">
        <v>166</v>
      </c>
      <c r="C21" s="42">
        <f>('Income statement'!C14-'Income statement'!C21)/'Income statement'!C14</f>
        <v>0.46943339960238567</v>
      </c>
      <c r="D21" s="42">
        <f>('Income statement'!D14-'Income statement'!D21)/'Income statement'!D14</f>
        <v>0.42851135407905805</v>
      </c>
      <c r="E21" s="42">
        <f>('Income statement'!E14-'Income statement'!E21)/'Income statement'!E14</f>
        <v>0.45196640721015979</v>
      </c>
      <c r="F21" s="42">
        <f>('Income statement'!F14-'Income statement'!F21)/'Income statement'!F14</f>
        <v>0.50813218688490625</v>
      </c>
      <c r="G21" s="42">
        <f>('Income statement'!G14-'Income statement'!G21)/'Income statement'!G14</f>
        <v>0.50253900840180965</v>
      </c>
      <c r="H21" s="42">
        <f>('Income statement'!H14-'Income statement'!H21)/'Income statement'!H14</f>
        <v>0.4721164712356638</v>
      </c>
      <c r="I21" s="42">
        <f>('Income statement'!I14-'Income statement'!I21)/'Income statement'!I14</f>
        <v>0.47265308556231955</v>
      </c>
      <c r="J21" s="42">
        <f>('Income statement'!J14-'Income statement'!J21)/'Income statement'!J14</f>
        <v>0.48148143185897185</v>
      </c>
      <c r="K21" s="42">
        <f>('Income statement'!K14-'Income statement'!K21)/'Income statement'!K14</f>
        <v>0.48738443678873417</v>
      </c>
      <c r="L21" s="42">
        <f>('Income statement'!L14-'Income statement'!L21)/'Income statement'!L14</f>
        <v>0.48323488676949972</v>
      </c>
      <c r="M21" s="92"/>
      <c r="N21" s="90">
        <f t="shared" si="0"/>
        <v>0.4770672587106457</v>
      </c>
      <c r="O21" s="9"/>
      <c r="P21" s="9"/>
      <c r="Q21" s="9"/>
      <c r="R21" s="9"/>
      <c r="S21" s="9"/>
      <c r="T21" s="9"/>
      <c r="U21" s="9"/>
      <c r="V21" s="9"/>
      <c r="W21" s="9"/>
      <c r="X21" s="9"/>
      <c r="Y21" s="9"/>
      <c r="Z21" s="9"/>
    </row>
    <row r="22" spans="2:26" ht="22.8" customHeight="1" x14ac:dyDescent="0.3">
      <c r="B22" s="31" t="s">
        <v>167</v>
      </c>
      <c r="C22" s="42">
        <f>C59/'Income statement'!C14</f>
        <v>0.21073558648111332</v>
      </c>
      <c r="D22" s="42">
        <f>D59/'Income statement'!D14</f>
        <v>0.18702691337258201</v>
      </c>
      <c r="E22" s="42">
        <f>E59/'Income statement'!E14</f>
        <v>0.20012290045063499</v>
      </c>
      <c r="F22" s="42">
        <f>F59/'Income statement'!F14</f>
        <v>0.22459339065575468</v>
      </c>
      <c r="G22" s="42">
        <f>G59/'Income statement'!G14</f>
        <v>0.19748868987166468</v>
      </c>
      <c r="H22" s="42">
        <f>H59/'Income statement'!H14</f>
        <v>0.19343189578461845</v>
      </c>
      <c r="I22" s="42">
        <f>I59/'Income statement'!I14</f>
        <v>0.19396851011127439</v>
      </c>
      <c r="J22" s="42">
        <f>J59/'Income statement'!J14</f>
        <v>0.20279685640792652</v>
      </c>
      <c r="K22" s="42">
        <f>K59/'Income statement'!K14</f>
        <v>0.20869986133768875</v>
      </c>
      <c r="L22" s="42">
        <f>L59/'Income statement'!L14</f>
        <v>0.20455031131845436</v>
      </c>
      <c r="M22" s="92"/>
      <c r="N22" s="90">
        <f t="shared" si="0"/>
        <v>0.20145987842928076</v>
      </c>
      <c r="O22" s="9"/>
      <c r="P22" s="9"/>
      <c r="Q22" s="9"/>
      <c r="R22" s="9"/>
      <c r="S22" s="9"/>
      <c r="T22" s="9"/>
      <c r="U22" s="9"/>
      <c r="V22" s="9"/>
      <c r="W22" s="9"/>
      <c r="X22" s="9"/>
      <c r="Y22" s="9"/>
      <c r="Z22" s="9"/>
    </row>
    <row r="23" spans="2:26" ht="25.8" customHeight="1" x14ac:dyDescent="0.3">
      <c r="B23" s="31" t="s">
        <v>168</v>
      </c>
      <c r="C23" s="42">
        <f>C58/'Income statement'!C14</f>
        <v>0.19209741550695825</v>
      </c>
      <c r="D23" s="42">
        <f>D58/'Income statement'!D14</f>
        <v>0.17241379310344829</v>
      </c>
      <c r="E23" s="42">
        <f>E58/'Income statement'!E14</f>
        <v>0.18424825891028268</v>
      </c>
      <c r="F23" s="42">
        <f>F58/'Income statement'!F14</f>
        <v>0.20822542214855486</v>
      </c>
      <c r="G23" s="42">
        <f>G58/'Income statement'!G14</f>
        <v>0.18105438094358786</v>
      </c>
      <c r="H23" s="42">
        <f>H58/'Income statement'!H14</f>
        <v>0.17501512937872726</v>
      </c>
      <c r="I23" s="42">
        <f>I58/'Income statement'!I14</f>
        <v>0.1778728914643217</v>
      </c>
      <c r="J23" s="42">
        <f>J58/'Income statement'!J14</f>
        <v>0.18838651567388012</v>
      </c>
      <c r="K23" s="42">
        <f>K58/'Income statement'!K14</f>
        <v>0.19543603187992131</v>
      </c>
      <c r="L23" s="42">
        <f>L58/'Income statement'!L14</f>
        <v>0.19213974517383609</v>
      </c>
      <c r="M23" s="92"/>
      <c r="N23" s="90">
        <f t="shared" si="0"/>
        <v>0.18631738729208142</v>
      </c>
      <c r="O23" s="9"/>
      <c r="P23" s="9"/>
      <c r="Q23" s="9"/>
      <c r="R23" s="9"/>
      <c r="S23" s="9"/>
      <c r="T23" s="9"/>
      <c r="U23" s="9"/>
      <c r="V23" s="9"/>
      <c r="W23" s="9"/>
      <c r="X23" s="9"/>
      <c r="Y23" s="9"/>
      <c r="Z23" s="9"/>
    </row>
    <row r="24" spans="2:26" ht="27" customHeight="1" x14ac:dyDescent="0.3">
      <c r="B24" s="31" t="s">
        <v>169</v>
      </c>
      <c r="C24" s="42">
        <f>'Income statement'!C29/'Income statement'!C14</f>
        <v>0.18762425447316103</v>
      </c>
      <c r="D24" s="42">
        <f>'Income statement'!D29/'Income statement'!D14</f>
        <v>0.16831370899915896</v>
      </c>
      <c r="E24" s="42">
        <f>'Income statement'!E29/'Income statement'!E14</f>
        <v>0.17851290454731666</v>
      </c>
      <c r="F24" s="42">
        <f>'Income statement'!F29/'Income statement'!F14</f>
        <v>0.20066300631927897</v>
      </c>
      <c r="G24" s="42">
        <f>'Income statement'!G29/'Income statement'!G14</f>
        <v>0.17616101929646386</v>
      </c>
      <c r="H24" s="42">
        <f>'Income statement'!H29/'Income statement'!H14</f>
        <v>0.17022471415650658</v>
      </c>
      <c r="I24" s="42">
        <f>'Income statement'!I29/'Income statement'!I14</f>
        <v>0.17350333272166793</v>
      </c>
      <c r="J24" s="42">
        <f>'Income statement'!J29/'Income statement'!J14</f>
        <v>0.18441227375409652</v>
      </c>
      <c r="K24" s="42">
        <f>'Income statement'!K29/'Income statement'!K14</f>
        <v>0.19183089742832421</v>
      </c>
      <c r="L24" s="42">
        <f>'Income statement'!L29/'Income statement'!L14</f>
        <v>0.18887705491123841</v>
      </c>
      <c r="M24" s="92"/>
      <c r="N24" s="90">
        <f t="shared" si="0"/>
        <v>0.18146258915070659</v>
      </c>
      <c r="O24" s="9"/>
      <c r="P24" s="9"/>
      <c r="Q24" s="9"/>
      <c r="R24" s="9"/>
      <c r="S24" s="9"/>
      <c r="T24" s="9"/>
      <c r="U24" s="9"/>
      <c r="V24" s="9"/>
      <c r="W24" s="9"/>
      <c r="X24" s="9"/>
      <c r="Y24" s="9"/>
      <c r="Z24" s="9"/>
    </row>
    <row r="25" spans="2:26" ht="26.4" customHeight="1" thickBot="1" x14ac:dyDescent="0.35">
      <c r="B25" s="32" t="s">
        <v>170</v>
      </c>
      <c r="C25" s="42">
        <f>'Income statement'!C35/'Income statement'!C31</f>
        <v>0.21273801707156928</v>
      </c>
      <c r="D25" s="42">
        <f>'Income statement'!D35/'Income statement'!D31</f>
        <v>0.21611492816989381</v>
      </c>
      <c r="E25" s="42">
        <f>'Income statement'!E35/'Income statement'!E31</f>
        <v>0.24153757888697647</v>
      </c>
      <c r="F25" s="42">
        <f>'Income statement'!F35/'Income statement'!F31</f>
        <v>0.22457408363448633</v>
      </c>
      <c r="G25" s="42">
        <f>'Income statement'!G35/'Income statement'!G31</f>
        <v>0.240041928721174</v>
      </c>
      <c r="H25" s="42">
        <f>'Income statement'!H35/'Income statement'!H31</f>
        <v>0.29397103989790124</v>
      </c>
      <c r="I25" s="42">
        <f>'Income statement'!I35/'Income statement'!I31</f>
        <v>0.29872021034620549</v>
      </c>
      <c r="J25" s="42">
        <f>'Income statement'!J35/'Income statement'!J31</f>
        <v>0.30332481018437085</v>
      </c>
      <c r="K25" s="42">
        <f>'Income statement'!K35/'Income statement'!K31</f>
        <v>0.30029839551927839</v>
      </c>
      <c r="L25" s="42">
        <f>'Income statement'!L35/'Income statement'!L31</f>
        <v>0.30243530498265458</v>
      </c>
      <c r="M25" s="92"/>
      <c r="N25" s="90">
        <f t="shared" si="0"/>
        <v>0.26775430939243883</v>
      </c>
      <c r="O25" s="9"/>
      <c r="P25" s="9"/>
      <c r="Q25" s="9"/>
      <c r="R25" s="9"/>
      <c r="S25" s="9"/>
      <c r="T25" s="9"/>
      <c r="U25" s="9"/>
      <c r="V25" s="9"/>
      <c r="W25" s="9"/>
      <c r="X25" s="9"/>
      <c r="Y25" s="9"/>
      <c r="Z25" s="9"/>
    </row>
    <row r="26" spans="2:26" ht="15" thickBot="1" x14ac:dyDescent="0.35">
      <c r="B26" s="33"/>
      <c r="C26" s="9"/>
      <c r="D26" s="9"/>
      <c r="E26" s="9"/>
      <c r="F26" s="9"/>
      <c r="G26" s="9"/>
      <c r="H26" s="9"/>
      <c r="I26" s="9"/>
      <c r="J26" s="9"/>
      <c r="K26" s="9"/>
      <c r="L26" s="9"/>
      <c r="M26" s="92"/>
      <c r="N26" s="90"/>
      <c r="O26" s="9"/>
      <c r="P26" s="9"/>
      <c r="Q26" s="9"/>
      <c r="R26" s="9"/>
      <c r="S26" s="9"/>
      <c r="T26" s="9"/>
      <c r="U26" s="9"/>
      <c r="V26" s="9"/>
      <c r="W26" s="9"/>
      <c r="X26" s="9"/>
      <c r="Y26" s="9"/>
      <c r="Z26" s="9"/>
    </row>
    <row r="27" spans="2:26" ht="15" thickBot="1" x14ac:dyDescent="0.35">
      <c r="B27" s="35" t="s">
        <v>171</v>
      </c>
      <c r="C27" s="9"/>
      <c r="D27" s="9"/>
      <c r="E27" s="9"/>
      <c r="F27" s="9"/>
      <c r="G27" s="9"/>
      <c r="H27" s="9"/>
      <c r="I27" s="9"/>
      <c r="J27" s="9"/>
      <c r="K27" s="9"/>
      <c r="L27" s="9"/>
      <c r="M27" s="92"/>
      <c r="N27" s="90"/>
      <c r="O27" s="9"/>
      <c r="P27" s="9"/>
      <c r="Q27" s="9"/>
      <c r="R27" s="9"/>
      <c r="S27" s="9"/>
      <c r="T27" s="9"/>
      <c r="U27" s="9"/>
      <c r="V27" s="9"/>
      <c r="W27" s="9"/>
      <c r="X27" s="9"/>
      <c r="Y27" s="9"/>
      <c r="Z27" s="9"/>
    </row>
    <row r="28" spans="2:26" ht="32.4" customHeight="1" x14ac:dyDescent="0.3">
      <c r="B28" s="31" t="s">
        <v>172</v>
      </c>
      <c r="C28" s="41">
        <f>'Balance Sheet'!C45/'Balance Sheet'!C84</f>
        <v>1.6572280178837555</v>
      </c>
      <c r="D28" s="41">
        <f>'Balance Sheet'!D45/'Balance Sheet'!D84</f>
        <v>1.62796098467255</v>
      </c>
      <c r="E28" s="41">
        <f>'Balance Sheet'!E45/'Balance Sheet'!E84</f>
        <v>1.5726636475916014</v>
      </c>
      <c r="F28" s="41">
        <f>'Balance Sheet'!F45/'Balance Sheet'!F84</f>
        <v>1.6378887070376431</v>
      </c>
      <c r="G28" s="41">
        <f>'Balance Sheet'!G45/'Balance Sheet'!G84</f>
        <v>2.0654205607476634</v>
      </c>
      <c r="H28" s="41">
        <f>'Balance Sheet'!H45/'Balance Sheet'!H84</f>
        <v>2.3617557748113125</v>
      </c>
      <c r="I28" s="41">
        <f>'Balance Sheet'!I45/'Balance Sheet'!I84</f>
        <v>2.9956467086246525</v>
      </c>
      <c r="J28" s="41">
        <f>'Balance Sheet'!J45/'Balance Sheet'!J84</f>
        <v>3.2291354077648853</v>
      </c>
      <c r="K28" s="41">
        <f>'Balance Sheet'!K45/'Balance Sheet'!K84</f>
        <v>3.8979484608765063</v>
      </c>
      <c r="L28" s="41">
        <f>'Balance Sheet'!L45/'Balance Sheet'!L84</f>
        <v>3.1558980342499376</v>
      </c>
      <c r="M28" s="92"/>
      <c r="N28" s="90">
        <f t="shared" si="0"/>
        <v>2.2135881677794877</v>
      </c>
      <c r="O28" s="9"/>
      <c r="P28" s="9"/>
      <c r="Q28" s="9"/>
      <c r="R28" s="9"/>
      <c r="S28" s="9"/>
      <c r="T28" s="9"/>
      <c r="U28" s="9"/>
      <c r="V28" s="9"/>
      <c r="W28" s="9"/>
      <c r="X28" s="9"/>
      <c r="Y28" s="9"/>
      <c r="Z28" s="9"/>
    </row>
    <row r="29" spans="2:26" ht="30.6" customHeight="1" thickBot="1" x14ac:dyDescent="0.35">
      <c r="B29" s="32" t="s">
        <v>173</v>
      </c>
      <c r="C29" s="41">
        <f>('Balance Sheet'!C45-'Balance Sheet'!C34)/'Balance Sheet'!C84</f>
        <v>1.0978638847491307</v>
      </c>
      <c r="D29" s="41">
        <f>('Balance Sheet'!D45-'Balance Sheet'!D34)/'Balance Sheet'!D84</f>
        <v>0.97213190896423596</v>
      </c>
      <c r="E29" s="41">
        <f>('Balance Sheet'!E45-'Balance Sheet'!E34)/'Balance Sheet'!E84</f>
        <v>1.0683408810209962</v>
      </c>
      <c r="F29" s="41">
        <f>('Balance Sheet'!F45-'Balance Sheet'!F34)/'Balance Sheet'!F84</f>
        <v>1.0912438625204584</v>
      </c>
      <c r="G29" s="41">
        <f>('Balance Sheet'!G45-'Balance Sheet'!G34)/'Balance Sheet'!G84</f>
        <v>1.5635920357578221</v>
      </c>
      <c r="H29" s="41">
        <f>('Balance Sheet'!H45-'Balance Sheet'!H34)/'Balance Sheet'!H84</f>
        <v>1.711681938744573</v>
      </c>
      <c r="I29" s="41">
        <f>('Balance Sheet'!I45-'Balance Sheet'!I34)/'Balance Sheet'!I84</f>
        <v>2.4061160924158651</v>
      </c>
      <c r="J29" s="41">
        <f>('Balance Sheet'!J45-'Balance Sheet'!J34)/'Balance Sheet'!J84</f>
        <v>2.5325119975445722</v>
      </c>
      <c r="K29" s="41">
        <f>('Balance Sheet'!K45-'Balance Sheet'!K34)/'Balance Sheet'!K84</f>
        <v>3.2641135811667161</v>
      </c>
      <c r="L29" s="41">
        <f>('Balance Sheet'!L45-'Balance Sheet'!L34)/'Balance Sheet'!L84</f>
        <v>2.3988106120982229</v>
      </c>
      <c r="M29" s="92"/>
      <c r="N29" s="90">
        <f t="shared" si="0"/>
        <v>1.6376369872511976</v>
      </c>
      <c r="O29" s="9"/>
      <c r="P29" s="9"/>
      <c r="Q29" s="9"/>
      <c r="R29" s="9"/>
      <c r="S29" s="9"/>
      <c r="T29" s="9"/>
      <c r="U29" s="9"/>
      <c r="V29" s="9"/>
      <c r="W29" s="9"/>
      <c r="X29" s="9"/>
      <c r="Y29" s="9"/>
      <c r="Z29" s="9"/>
    </row>
    <row r="30" spans="2:26" ht="15" thickBot="1" x14ac:dyDescent="0.35">
      <c r="B30" s="30"/>
      <c r="C30" s="9"/>
      <c r="D30" s="9"/>
      <c r="E30" s="9"/>
      <c r="F30" s="9"/>
      <c r="G30" s="9"/>
      <c r="H30" s="9"/>
      <c r="I30" s="9"/>
      <c r="J30" s="9"/>
      <c r="K30" s="9"/>
      <c r="L30" s="9"/>
      <c r="M30" s="92"/>
      <c r="N30" s="90"/>
      <c r="O30" s="9"/>
      <c r="P30" s="9"/>
      <c r="Q30" s="9"/>
      <c r="R30" s="9"/>
      <c r="S30" s="9"/>
      <c r="T30" s="9"/>
      <c r="U30" s="9"/>
      <c r="V30" s="9"/>
      <c r="W30" s="9"/>
      <c r="X30" s="9"/>
      <c r="Y30" s="9"/>
      <c r="Z30" s="9"/>
    </row>
    <row r="31" spans="2:26" ht="15" thickBot="1" x14ac:dyDescent="0.35">
      <c r="B31" s="35" t="s">
        <v>174</v>
      </c>
      <c r="C31" s="9"/>
      <c r="D31" s="9"/>
      <c r="E31" s="9"/>
      <c r="F31" s="9"/>
      <c r="G31" s="9"/>
      <c r="H31" s="9"/>
      <c r="I31" s="9"/>
      <c r="J31" s="9"/>
      <c r="K31" s="9"/>
      <c r="L31" s="9"/>
      <c r="M31" s="92"/>
      <c r="N31" s="90"/>
      <c r="O31" s="9"/>
      <c r="P31" s="9"/>
      <c r="Q31" s="9"/>
      <c r="R31" s="9"/>
      <c r="S31" s="9"/>
      <c r="T31" s="9"/>
      <c r="U31" s="9"/>
      <c r="V31" s="9"/>
      <c r="W31" s="9"/>
      <c r="X31" s="9"/>
      <c r="Y31" s="9"/>
      <c r="Z31" s="9"/>
    </row>
    <row r="32" spans="2:26" ht="29.4" customHeight="1" x14ac:dyDescent="0.3">
      <c r="B32" s="34" t="s">
        <v>175</v>
      </c>
      <c r="C32" s="41">
        <f>'Working Capital Schedule'!C33</f>
        <v>0</v>
      </c>
      <c r="D32" s="41">
        <f>'Working Capital Schedule'!D33</f>
        <v>18.292307692307691</v>
      </c>
      <c r="E32" s="41">
        <f>'Working Capital Schedule'!E33</f>
        <v>11.714457108578284</v>
      </c>
      <c r="F32" s="41">
        <f>'Working Capital Schedule'!F33</f>
        <v>9.2639155470249523</v>
      </c>
      <c r="G32" s="41">
        <f>'Working Capital Schedule'!G33</f>
        <v>9.2572649572649581</v>
      </c>
      <c r="H32" s="41">
        <f>'Working Capital Schedule'!H33</f>
        <v>12.131986326293971</v>
      </c>
      <c r="I32" s="41">
        <f>'Working Capital Schedule'!I33</f>
        <v>10.591905984790541</v>
      </c>
      <c r="J32" s="41">
        <f>'Working Capital Schedule'!J33</f>
        <v>10.311268203843605</v>
      </c>
      <c r="K32" s="41">
        <f>'Working Capital Schedule'!K33</f>
        <v>10.573106368048268</v>
      </c>
      <c r="L32" s="41">
        <f>'Working Capital Schedule'!L33</f>
        <v>10.902066720744095</v>
      </c>
      <c r="M32" s="92"/>
      <c r="N32" s="90">
        <f t="shared" si="0"/>
        <v>10.582506176419404</v>
      </c>
      <c r="O32" s="9"/>
      <c r="P32" s="9"/>
      <c r="Q32" s="9"/>
      <c r="R32" s="9"/>
      <c r="S32" s="9"/>
      <c r="T32" s="9"/>
      <c r="U32" s="9"/>
      <c r="V32" s="9"/>
      <c r="W32" s="9"/>
      <c r="X32" s="9"/>
      <c r="Y32" s="9"/>
      <c r="Z32" s="9"/>
    </row>
    <row r="33" spans="2:26" ht="25.2" customHeight="1" x14ac:dyDescent="0.3">
      <c r="B33" s="31" t="s">
        <v>176</v>
      </c>
      <c r="C33" s="41">
        <f>'Working Capital Schedule'!C45</f>
        <v>0</v>
      </c>
      <c r="D33" s="41">
        <f>'Working Capital Schedule'!D45</f>
        <v>0.39628732849071829</v>
      </c>
      <c r="E33" s="41">
        <f>'Working Capital Schedule'!E45</f>
        <v>0.38698140200286124</v>
      </c>
      <c r="F33" s="41">
        <f>'Working Capital Schedule'!F45</f>
        <v>0.4958786679854929</v>
      </c>
      <c r="G33" s="41">
        <f>'Working Capital Schedule'!G45</f>
        <v>0.65217391304347827</v>
      </c>
      <c r="H33" s="41">
        <f>'Working Capital Schedule'!H45</f>
        <v>0.48283032788063768</v>
      </c>
      <c r="I33" s="41">
        <f>'Working Capital Schedule'!I45</f>
        <v>0.48283032788063768</v>
      </c>
      <c r="J33" s="41">
        <f>'Working Capital Schedule'!J45</f>
        <v>0.48283032788063768</v>
      </c>
      <c r="K33" s="41">
        <f>'Working Capital Schedule'!K45</f>
        <v>0.48283032788063768</v>
      </c>
      <c r="L33" s="41">
        <f>'Working Capital Schedule'!L45</f>
        <v>0.48283032788063768</v>
      </c>
      <c r="M33" s="92"/>
      <c r="N33" s="90">
        <f t="shared" si="0"/>
        <v>0.48283032788063768</v>
      </c>
      <c r="O33" s="9"/>
      <c r="P33" s="9"/>
      <c r="Q33" s="9"/>
      <c r="R33" s="9"/>
      <c r="S33" s="9"/>
      <c r="T33" s="9"/>
      <c r="U33" s="9"/>
      <c r="V33" s="9"/>
      <c r="W33" s="9"/>
      <c r="X33" s="9"/>
      <c r="Y33" s="9"/>
      <c r="Z33" s="9"/>
    </row>
    <row r="34" spans="2:26" ht="24" customHeight="1" x14ac:dyDescent="0.3">
      <c r="B34" s="31" t="s">
        <v>177</v>
      </c>
      <c r="C34" s="41">
        <f>'Working Capital Schedule'!C21</f>
        <v>0</v>
      </c>
      <c r="D34" s="41">
        <f>'Working Capital Schedule'!D21</f>
        <v>4.2836879432624118</v>
      </c>
      <c r="E34" s="41">
        <f>'Working Capital Schedule'!E21</f>
        <v>4.0583996966249529</v>
      </c>
      <c r="F34" s="41">
        <f>'Working Capital Schedule'!F21</f>
        <v>3.7079265911753221</v>
      </c>
      <c r="G34" s="41">
        <f>'Working Capital Schedule'!G21</f>
        <v>4.191365227537923</v>
      </c>
      <c r="H34" s="41">
        <f>'Working Capital Schedule'!H21</f>
        <v>4.0603448646501521</v>
      </c>
      <c r="I34" s="41">
        <f>'Working Capital Schedule'!I21</f>
        <v>4.0045090949970872</v>
      </c>
      <c r="J34" s="41">
        <f>'Working Capital Schedule'!J21</f>
        <v>3.9910364445901205</v>
      </c>
      <c r="K34" s="41">
        <f>'Working Capital Schedule'!K21</f>
        <v>4.0618139079438205</v>
      </c>
      <c r="L34" s="41">
        <f>'Working Capital Schedule'!L21</f>
        <v>4.0294260780452955</v>
      </c>
      <c r="M34" s="92"/>
      <c r="N34" s="90">
        <f t="shared" si="0"/>
        <v>4.0439128873351242</v>
      </c>
      <c r="O34" s="9"/>
      <c r="P34" s="9"/>
      <c r="Q34" s="9"/>
      <c r="R34" s="9"/>
      <c r="S34" s="9"/>
      <c r="T34" s="9"/>
      <c r="U34" s="9"/>
      <c r="V34" s="9"/>
      <c r="W34" s="9"/>
      <c r="X34" s="9"/>
      <c r="Y34" s="9"/>
      <c r="Z34" s="9"/>
    </row>
    <row r="35" spans="2:26" ht="24" customHeight="1" x14ac:dyDescent="0.3">
      <c r="B35" s="31" t="s">
        <v>178</v>
      </c>
      <c r="C35" s="41">
        <f>'Income statement'!C14/'Balance Sheet'!C47</f>
        <v>1.460617059891107</v>
      </c>
      <c r="D35" s="41">
        <f>'Income statement'!D14/'Balance Sheet'!D47</f>
        <v>1.6439681991012789</v>
      </c>
      <c r="E35" s="41">
        <f>'Income statement'!E14/'Balance Sheet'!E47</f>
        <v>1.4057011229484595</v>
      </c>
      <c r="F35" s="41">
        <f>'Income statement'!F14/'Balance Sheet'!F47</f>
        <v>1.3007680905538337</v>
      </c>
      <c r="G35" s="41">
        <f>'Income statement'!G14/'Balance Sheet'!G47</f>
        <v>1.2989925641640681</v>
      </c>
      <c r="H35" s="41">
        <f>'Income statement'!H14/'Balance Sheet'!H47</f>
        <v>1.18998708303793</v>
      </c>
      <c r="I35" s="41">
        <f>'Income statement'!I14/'Balance Sheet'!I47</f>
        <v>1.1633536847956198</v>
      </c>
      <c r="J35" s="41">
        <f>'Income statement'!J14/'Balance Sheet'!J47</f>
        <v>1.1001996434208847</v>
      </c>
      <c r="K35" s="41">
        <f>'Income statement'!K14/'Balance Sheet'!K47</f>
        <v>1.0709977875968892</v>
      </c>
      <c r="L35" s="41">
        <f>'Income statement'!L14/'Balance Sheet'!L47</f>
        <v>1.2466194532977355</v>
      </c>
      <c r="M35" s="92"/>
      <c r="N35" s="90">
        <f t="shared" si="0"/>
        <v>1.2728060087309019</v>
      </c>
      <c r="O35" s="9"/>
      <c r="P35" s="9"/>
      <c r="Q35" s="9"/>
      <c r="R35" s="9"/>
      <c r="S35" s="9"/>
      <c r="T35" s="9"/>
      <c r="U35" s="9"/>
      <c r="V35" s="9"/>
      <c r="W35" s="9"/>
      <c r="X35" s="9"/>
      <c r="Y35" s="9"/>
      <c r="Z35" s="9"/>
    </row>
    <row r="36" spans="2:26" ht="15" thickBot="1" x14ac:dyDescent="0.35">
      <c r="B36" s="32"/>
      <c r="C36" s="9"/>
      <c r="D36" s="9"/>
      <c r="E36" s="9"/>
      <c r="F36" s="9"/>
      <c r="G36" s="9"/>
      <c r="H36" s="9"/>
      <c r="I36" s="9"/>
      <c r="J36" s="9"/>
      <c r="K36" s="9"/>
      <c r="L36" s="9"/>
      <c r="M36" s="92"/>
      <c r="N36" s="90"/>
      <c r="O36" s="9"/>
      <c r="P36" s="9"/>
      <c r="Q36" s="9"/>
      <c r="R36" s="9"/>
      <c r="S36" s="9"/>
      <c r="T36" s="9"/>
      <c r="U36" s="9"/>
      <c r="V36" s="9"/>
      <c r="W36" s="9"/>
      <c r="X36" s="9"/>
      <c r="Y36" s="9"/>
      <c r="Z36" s="9"/>
    </row>
    <row r="37" spans="2:26" ht="15" thickBot="1" x14ac:dyDescent="0.35">
      <c r="B37" s="33"/>
      <c r="C37" s="9"/>
      <c r="D37" s="9"/>
      <c r="E37" s="9"/>
      <c r="F37" s="9"/>
      <c r="G37" s="9"/>
      <c r="H37" s="9"/>
      <c r="I37" s="9"/>
      <c r="J37" s="9"/>
      <c r="K37" s="9"/>
      <c r="L37" s="9"/>
      <c r="M37" s="92"/>
      <c r="N37" s="90"/>
      <c r="O37" s="9"/>
      <c r="P37" s="9"/>
      <c r="Q37" s="9"/>
      <c r="R37" s="9"/>
      <c r="S37" s="9"/>
      <c r="T37" s="9"/>
      <c r="U37" s="9"/>
      <c r="V37" s="9"/>
      <c r="W37" s="9"/>
      <c r="X37" s="9"/>
      <c r="Y37" s="9"/>
      <c r="Z37" s="9"/>
    </row>
    <row r="38" spans="2:26" ht="15" thickBot="1" x14ac:dyDescent="0.35">
      <c r="B38" s="35"/>
      <c r="C38" s="9"/>
      <c r="D38" s="9"/>
      <c r="E38" s="9"/>
      <c r="F38" s="9"/>
      <c r="G38" s="9"/>
      <c r="H38" s="9"/>
      <c r="I38" s="9"/>
      <c r="J38" s="9"/>
      <c r="K38" s="9"/>
      <c r="L38" s="9"/>
      <c r="M38" s="92"/>
      <c r="N38" s="90"/>
      <c r="O38" s="9"/>
      <c r="P38" s="9"/>
      <c r="Q38" s="9"/>
      <c r="R38" s="9"/>
      <c r="S38" s="9"/>
      <c r="T38" s="9"/>
      <c r="U38" s="9"/>
      <c r="V38" s="9"/>
      <c r="W38" s="9"/>
      <c r="X38" s="9"/>
      <c r="Y38" s="9"/>
      <c r="Z38" s="9"/>
    </row>
    <row r="39" spans="2:26" ht="32.4" customHeight="1" x14ac:dyDescent="0.3">
      <c r="B39" s="34" t="s">
        <v>179</v>
      </c>
      <c r="C39" s="41">
        <f>'Working Capital Schedule'!C35</f>
        <v>0</v>
      </c>
      <c r="D39" s="41">
        <f>'Working Capital Schedule'!D35</f>
        <v>19.953742640874687</v>
      </c>
      <c r="E39" s="41">
        <f>'Working Capital Schedule'!E35</f>
        <v>31.158080704629253</v>
      </c>
      <c r="F39" s="41">
        <f>'Working Capital Schedule'!F35</f>
        <v>39.400186470527295</v>
      </c>
      <c r="G39" s="41">
        <f>'Working Capital Schedule'!G35</f>
        <v>39.428492290647213</v>
      </c>
      <c r="H39" s="41">
        <f>'Working Capital Schedule'!H35</f>
        <v>30.085757614886688</v>
      </c>
      <c r="I39" s="41">
        <f>'Working Capital Schedule'!I35</f>
        <v>34.460275659935249</v>
      </c>
      <c r="J39" s="41">
        <f>'Working Capital Schedule'!J35</f>
        <v>35.398167595324836</v>
      </c>
      <c r="K39" s="41">
        <f>'Working Capital Schedule'!K35</f>
        <v>34.521548095176954</v>
      </c>
      <c r="L39" s="41">
        <f>'Working Capital Schedule'!L35</f>
        <v>33.479890496862396</v>
      </c>
      <c r="M39" s="92"/>
      <c r="N39" s="90">
        <f t="shared" si="0"/>
        <v>33.970083078398822</v>
      </c>
      <c r="O39" s="9"/>
      <c r="P39" s="9"/>
      <c r="Q39" s="9"/>
      <c r="R39" s="9"/>
      <c r="S39" s="9"/>
      <c r="T39" s="9"/>
      <c r="U39" s="9"/>
      <c r="V39" s="9"/>
      <c r="W39" s="9"/>
      <c r="X39" s="9"/>
      <c r="Y39" s="9"/>
      <c r="Z39" s="9"/>
    </row>
    <row r="40" spans="2:26" ht="25.8" customHeight="1" x14ac:dyDescent="0.3">
      <c r="B40" s="31" t="s">
        <v>180</v>
      </c>
      <c r="C40" s="41">
        <f>'Working Capital Schedule'!C47</f>
        <v>0</v>
      </c>
      <c r="D40" s="41">
        <f>'Working Capital Schedule'!D47</f>
        <v>921.04887983706726</v>
      </c>
      <c r="E40" s="41">
        <f>'Working Capital Schedule'!E47</f>
        <v>943.19778188539738</v>
      </c>
      <c r="F40" s="41">
        <f>'Working Capital Schedule'!F47</f>
        <v>736.06715425531911</v>
      </c>
      <c r="G40" s="41">
        <f>'Working Capital Schedule'!G47</f>
        <v>559.66666666666663</v>
      </c>
      <c r="H40" s="41">
        <f>'Working Capital Schedule'!H47</f>
        <v>755.959141179369</v>
      </c>
      <c r="I40" s="41">
        <f>'Working Capital Schedule'!I47</f>
        <v>755.959141179369</v>
      </c>
      <c r="J40" s="41">
        <f>'Working Capital Schedule'!J47</f>
        <v>755.959141179369</v>
      </c>
      <c r="K40" s="41">
        <f>'Working Capital Schedule'!K47</f>
        <v>755.959141179369</v>
      </c>
      <c r="L40" s="41">
        <f>'Working Capital Schedule'!L47</f>
        <v>755.959141179369</v>
      </c>
      <c r="M40" s="92"/>
      <c r="N40" s="90">
        <f t="shared" si="0"/>
        <v>755.959141179369</v>
      </c>
      <c r="O40" s="9"/>
      <c r="P40" s="9"/>
      <c r="Q40" s="9"/>
      <c r="R40" s="9"/>
      <c r="S40" s="9"/>
      <c r="T40" s="9"/>
      <c r="U40" s="9"/>
      <c r="V40" s="9"/>
      <c r="W40" s="9"/>
      <c r="X40" s="9"/>
      <c r="Y40" s="9"/>
      <c r="Z40" s="9"/>
    </row>
    <row r="41" spans="2:26" ht="29.4" customHeight="1" x14ac:dyDescent="0.3">
      <c r="B41" s="31" t="s">
        <v>181</v>
      </c>
      <c r="C41" s="41">
        <f>'Working Capital Schedule'!C23</f>
        <v>0</v>
      </c>
      <c r="D41" s="41">
        <f>'Working Capital Schedule'!D23</f>
        <v>85.206953642384093</v>
      </c>
      <c r="E41" s="41">
        <f>'Working Capital Schedule'!E23</f>
        <v>89.936927677069704</v>
      </c>
      <c r="F41" s="41">
        <f>'Working Capital Schedule'!F23</f>
        <v>98.437763268744732</v>
      </c>
      <c r="G41" s="41">
        <f>'Working Capital Schedule'!G23</f>
        <v>87.083797327394208</v>
      </c>
      <c r="H41" s="41">
        <f>'Working Capital Schedule'!H23</f>
        <v>89.893842066897733</v>
      </c>
      <c r="I41" s="41">
        <f>'Working Capital Schedule'!I23</f>
        <v>91.147252095394606</v>
      </c>
      <c r="J41" s="41">
        <f>'Working Capital Schedule'!J23</f>
        <v>91.454940356347834</v>
      </c>
      <c r="K41" s="41">
        <f>'Working Capital Schedule'!K23</f>
        <v>89.861330004842841</v>
      </c>
      <c r="L41" s="41">
        <f>'Working Capital Schedule'!L23</f>
        <v>90.583619833290058</v>
      </c>
      <c r="M41" s="92"/>
      <c r="N41" s="90">
        <f t="shared" si="0"/>
        <v>89.915384871983719</v>
      </c>
      <c r="O41" s="9"/>
      <c r="P41" s="9"/>
      <c r="Q41" s="9"/>
      <c r="R41" s="9"/>
      <c r="S41" s="9"/>
      <c r="T41" s="9"/>
      <c r="U41" s="9"/>
      <c r="V41" s="9"/>
      <c r="W41" s="9"/>
      <c r="X41" s="9"/>
      <c r="Y41" s="9"/>
      <c r="Z41" s="9"/>
    </row>
    <row r="42" spans="2:26" ht="27.6" customHeight="1" thickBot="1" x14ac:dyDescent="0.35">
      <c r="B42" s="32" t="s">
        <v>182</v>
      </c>
      <c r="C42" s="41">
        <f>C41+C39-C40</f>
        <v>0</v>
      </c>
      <c r="D42" s="41">
        <f t="shared" ref="D42:L42" si="3">D41+D39-D40</f>
        <v>-815.88818355380852</v>
      </c>
      <c r="E42" s="41">
        <f t="shared" si="3"/>
        <v>-822.10277350369847</v>
      </c>
      <c r="F42" s="41">
        <f t="shared" si="3"/>
        <v>-598.22920451604705</v>
      </c>
      <c r="G42" s="41">
        <f t="shared" si="3"/>
        <v>-433.15437704862518</v>
      </c>
      <c r="H42" s="41">
        <f t="shared" si="3"/>
        <v>-635.97954149758459</v>
      </c>
      <c r="I42" s="41">
        <f t="shared" si="3"/>
        <v>-630.3516134240391</v>
      </c>
      <c r="J42" s="41">
        <f t="shared" si="3"/>
        <v>-629.10603322769634</v>
      </c>
      <c r="K42" s="41">
        <f t="shared" si="3"/>
        <v>-631.57626307934925</v>
      </c>
      <c r="L42" s="41">
        <f t="shared" si="3"/>
        <v>-631.89563084921656</v>
      </c>
      <c r="M42" s="92"/>
      <c r="N42" s="90">
        <f t="shared" si="0"/>
        <v>-630.96393825169412</v>
      </c>
      <c r="O42" s="9"/>
      <c r="P42" s="9"/>
      <c r="Q42" s="9"/>
      <c r="R42" s="9"/>
      <c r="S42" s="9"/>
      <c r="T42" s="9"/>
      <c r="U42" s="9"/>
      <c r="V42" s="9"/>
      <c r="W42" s="9"/>
      <c r="X42" s="9"/>
      <c r="Y42" s="9"/>
      <c r="Z42" s="9"/>
    </row>
    <row r="43" spans="2:26" ht="15" thickBot="1" x14ac:dyDescent="0.35">
      <c r="B43" s="30"/>
      <c r="C43" s="9"/>
      <c r="D43" s="9"/>
      <c r="E43" s="9"/>
      <c r="F43" s="9"/>
      <c r="G43" s="9"/>
      <c r="H43" s="9"/>
      <c r="I43" s="9"/>
      <c r="J43" s="9"/>
      <c r="K43" s="9"/>
      <c r="L43" s="9"/>
      <c r="M43" s="92"/>
      <c r="N43" s="90"/>
      <c r="O43" s="9"/>
      <c r="P43" s="9"/>
      <c r="Q43" s="9"/>
      <c r="R43" s="9"/>
      <c r="S43" s="9"/>
      <c r="T43" s="9"/>
      <c r="U43" s="9"/>
      <c r="V43" s="9"/>
      <c r="W43" s="9"/>
      <c r="X43" s="9"/>
      <c r="Y43" s="9"/>
      <c r="Z43" s="9"/>
    </row>
    <row r="44" spans="2:26" ht="15" thickBot="1" x14ac:dyDescent="0.35">
      <c r="B44" s="35"/>
      <c r="C44" s="9"/>
      <c r="D44" s="9"/>
      <c r="E44" s="9"/>
      <c r="F44" s="9"/>
      <c r="G44" s="9"/>
      <c r="H44" s="9"/>
      <c r="I44" s="9"/>
      <c r="J44" s="9"/>
      <c r="K44" s="9"/>
      <c r="L44" s="9"/>
      <c r="M44" s="92"/>
      <c r="N44" s="90"/>
      <c r="O44" s="9"/>
      <c r="P44" s="9"/>
      <c r="Q44" s="9"/>
      <c r="R44" s="9"/>
      <c r="S44" s="9"/>
      <c r="T44" s="9"/>
      <c r="U44" s="9"/>
      <c r="V44" s="9"/>
      <c r="W44" s="9"/>
      <c r="X44" s="9"/>
      <c r="Y44" s="9"/>
      <c r="Z44" s="9"/>
    </row>
    <row r="45" spans="2:26" ht="24" customHeight="1" x14ac:dyDescent="0.3">
      <c r="B45" s="31" t="s">
        <v>183</v>
      </c>
      <c r="C45" s="42">
        <f>'Cashflow statement'!C36/'Income statement'!C14</f>
        <v>0.23782306163021869</v>
      </c>
      <c r="D45" s="42">
        <f>'Cashflow statement'!D36/'Income statement'!D14</f>
        <v>0.10618166526492852</v>
      </c>
      <c r="E45" s="42">
        <f>'Cashflow statement'!E36/'Income statement'!E14</f>
        <v>0.1442031954117165</v>
      </c>
      <c r="F45" s="42">
        <f>'Cashflow statement'!F36/'Income statement'!F14</f>
        <v>0.16222935874857558</v>
      </c>
      <c r="G45" s="42">
        <f>'Cashflow statement'!G36/'Income statement'!G14</f>
        <v>0.10396085310682301</v>
      </c>
      <c r="H45" s="42">
        <f>'Cashflow statement'!H36/'Income statement'!H14</f>
        <v>0.20400522434549676</v>
      </c>
      <c r="I45" s="42">
        <f>'Cashflow statement'!I36/'Income statement'!I14</f>
        <v>0.20522228426041006</v>
      </c>
      <c r="J45" s="42">
        <f>'Cashflow statement'!J36/'Income statement'!J14</f>
        <v>0.1900182501810769</v>
      </c>
      <c r="K45" s="42">
        <f>'Cashflow statement'!K36/'Income statement'!K14</f>
        <v>0.2076100676274531</v>
      </c>
      <c r="L45" s="42">
        <f>'Cashflow statement'!L36/'Income statement'!L14</f>
        <v>0.21555960073466077</v>
      </c>
      <c r="M45" s="92"/>
      <c r="N45" s="90">
        <f t="shared" si="0"/>
        <v>0.19701173726328683</v>
      </c>
      <c r="O45" s="9"/>
      <c r="P45" s="9"/>
      <c r="Q45" s="9"/>
      <c r="R45" s="9"/>
      <c r="S45" s="9"/>
      <c r="T45" s="9"/>
      <c r="U45" s="9"/>
      <c r="V45" s="9"/>
      <c r="W45" s="9"/>
      <c r="X45" s="9"/>
      <c r="Y45" s="9"/>
      <c r="Z45" s="9"/>
    </row>
    <row r="46" spans="2:26" ht="25.8" customHeight="1" x14ac:dyDescent="0.3">
      <c r="B46" s="31" t="s">
        <v>184</v>
      </c>
      <c r="C46" s="42">
        <f>'Cashflow statement'!C36/'Balance Sheet'!C47</f>
        <v>0.3473684210526316</v>
      </c>
      <c r="D46" s="42">
        <f>'Cashflow statement'!D36/'Balance Sheet'!D47</f>
        <v>0.17455928102315935</v>
      </c>
      <c r="E46" s="42">
        <f>'Cashflow statement'!E36/'Balance Sheet'!E47</f>
        <v>0.20270659372300603</v>
      </c>
      <c r="F46" s="42">
        <f>'Cashflow statement'!F36/'Balance Sheet'!F47</f>
        <v>0.21102277321115753</v>
      </c>
      <c r="G46" s="42">
        <f>'Cashflow statement'!G36/'Balance Sheet'!G47</f>
        <v>0.13504437514991605</v>
      </c>
      <c r="H46" s="42">
        <f>'Cashflow statement'!H36/'Balance Sheet'!H47</f>
        <v>0.24276358184339619</v>
      </c>
      <c r="I46" s="42">
        <f>'Cashflow statement'!I36/'Balance Sheet'!I47</f>
        <v>0.23874610059652215</v>
      </c>
      <c r="J46" s="42">
        <f>'Cashflow statement'!J36/'Balance Sheet'!J47</f>
        <v>0.2090580110926813</v>
      </c>
      <c r="K46" s="42">
        <f>'Cashflow statement'!K36/'Balance Sheet'!K47</f>
        <v>0.22234992311184285</v>
      </c>
      <c r="L46" s="42">
        <f>'Cashflow statement'!L36/'Balance Sheet'!L47</f>
        <v>0.26872079162092094</v>
      </c>
      <c r="M46" s="92"/>
      <c r="N46" s="90">
        <f t="shared" si="0"/>
        <v>0.21668634816150018</v>
      </c>
      <c r="O46" s="9"/>
      <c r="P46" s="9"/>
      <c r="Q46" s="9"/>
      <c r="R46" s="9"/>
      <c r="S46" s="9"/>
      <c r="T46" s="9"/>
      <c r="U46" s="9"/>
      <c r="V46" s="9"/>
      <c r="W46" s="9"/>
      <c r="X46" s="9"/>
      <c r="Y46" s="9"/>
      <c r="Z46" s="9"/>
    </row>
    <row r="47" spans="2:26" ht="25.8" customHeight="1" thickBot="1" x14ac:dyDescent="0.35">
      <c r="B47" s="32" t="s">
        <v>185</v>
      </c>
      <c r="C47" s="42">
        <f>'Cashflow statement'!C36/('Balance Sheet'!C69+'Balance Sheet'!C84)</f>
        <v>0.84991119005328597</v>
      </c>
      <c r="D47" s="42">
        <f>'Cashflow statement'!D36/('Balance Sheet'!D69+'Balance Sheet'!D84)</f>
        <v>0.4241915161696766</v>
      </c>
      <c r="E47" s="42">
        <f>'Cashflow statement'!E36/('Balance Sheet'!E69+'Balance Sheet'!E84)</f>
        <v>0.47090301003344481</v>
      </c>
      <c r="F47" s="42">
        <f>'Cashflow statement'!F36/('Balance Sheet'!F69+'Balance Sheet'!F84)</f>
        <v>0.48154981549815495</v>
      </c>
      <c r="G47" s="42">
        <f>'Cashflow statement'!G36/('Balance Sheet'!G69+'Balance Sheet'!G84)</f>
        <v>0.27652259332023577</v>
      </c>
      <c r="H47" s="42">
        <f>'Cashflow statement'!H36/('Balance Sheet'!H69+'Balance Sheet'!H84)</f>
        <v>0.54188007728187138</v>
      </c>
      <c r="I47" s="42">
        <f>'Cashflow statement'!I36/('Balance Sheet'!I69+'Balance Sheet'!I84)</f>
        <v>0.63088631700855435</v>
      </c>
      <c r="J47" s="42">
        <f>'Cashflow statement'!J36/('Balance Sheet'!J69+'Balance Sheet'!J84)</f>
        <v>0.59816864066760578</v>
      </c>
      <c r="K47" s="42">
        <f>'Cashflow statement'!K36/('Balance Sheet'!K69+'Balance Sheet'!K84)</f>
        <v>0.74931425724511858</v>
      </c>
      <c r="L47" s="42">
        <f>'Cashflow statement'!L36/('Balance Sheet'!L69+'Balance Sheet'!L84)</f>
        <v>0.78964479824664247</v>
      </c>
      <c r="M47" s="92"/>
      <c r="N47" s="90">
        <f t="shared" si="0"/>
        <v>0.57002435897473858</v>
      </c>
      <c r="O47" s="9"/>
      <c r="P47" s="9"/>
      <c r="Q47" s="9"/>
      <c r="R47" s="9"/>
      <c r="S47" s="9"/>
      <c r="T47" s="9"/>
      <c r="U47" s="9"/>
      <c r="V47" s="9"/>
      <c r="W47" s="9"/>
      <c r="X47" s="9"/>
      <c r="Y47" s="9"/>
      <c r="Z47" s="9"/>
    </row>
    <row r="48" spans="2:26" ht="15" thickBot="1" x14ac:dyDescent="0.35">
      <c r="B48" s="30"/>
      <c r="C48" s="9"/>
      <c r="D48" s="9"/>
      <c r="E48" s="9"/>
      <c r="F48" s="9"/>
      <c r="G48" s="9"/>
      <c r="H48" s="9"/>
      <c r="I48" s="9"/>
      <c r="J48" s="9"/>
      <c r="K48" s="9"/>
      <c r="L48" s="9"/>
      <c r="M48" s="92"/>
      <c r="N48" s="90"/>
      <c r="O48" s="9"/>
      <c r="P48" s="9"/>
      <c r="Q48" s="9"/>
      <c r="R48" s="9"/>
      <c r="S48" s="9"/>
      <c r="T48" s="9"/>
      <c r="U48" s="9"/>
      <c r="V48" s="9"/>
      <c r="W48" s="9"/>
      <c r="X48" s="9"/>
      <c r="Y48" s="9"/>
      <c r="Z48" s="9"/>
    </row>
    <row r="49" spans="2:26" ht="15" thickBot="1" x14ac:dyDescent="0.35">
      <c r="B49" s="35"/>
      <c r="C49" s="9"/>
      <c r="D49" s="9"/>
      <c r="E49" s="9"/>
      <c r="F49" s="9"/>
      <c r="G49" s="9"/>
      <c r="H49" s="9"/>
      <c r="I49" s="9"/>
      <c r="J49" s="9"/>
      <c r="K49" s="9"/>
      <c r="L49" s="9"/>
      <c r="M49" s="92"/>
      <c r="N49" s="90"/>
      <c r="O49" s="9"/>
      <c r="P49" s="9"/>
      <c r="Q49" s="9"/>
      <c r="R49" s="9"/>
      <c r="S49" s="9"/>
      <c r="T49" s="9"/>
      <c r="U49" s="9"/>
      <c r="V49" s="9"/>
      <c r="W49" s="9"/>
      <c r="X49" s="9"/>
      <c r="Y49" s="9"/>
      <c r="Z49" s="9"/>
    </row>
    <row r="50" spans="2:26" ht="30.6" customHeight="1" x14ac:dyDescent="0.3">
      <c r="B50" s="34" t="s">
        <v>186</v>
      </c>
      <c r="C50" s="41"/>
      <c r="D50" s="42">
        <f>D58/D57</f>
        <v>1.2261682242990655</v>
      </c>
      <c r="E50" s="42">
        <f t="shared" ref="E50:L50" si="4">E58/E57</f>
        <v>1.3117025154939848</v>
      </c>
      <c r="F50" s="42">
        <f t="shared" si="4"/>
        <v>1.3627118644067797</v>
      </c>
      <c r="G50" s="42">
        <f t="shared" si="4"/>
        <v>0.93805309734513276</v>
      </c>
      <c r="H50" s="42">
        <f t="shared" si="4"/>
        <v>0.6392943595519297</v>
      </c>
      <c r="I50" s="42">
        <f t="shared" si="4"/>
        <v>0.49947046362018788</v>
      </c>
      <c r="J50" s="42">
        <f t="shared" si="4"/>
        <v>0.44258814919523909</v>
      </c>
      <c r="K50" s="42">
        <f t="shared" si="4"/>
        <v>0.40043355830136401</v>
      </c>
      <c r="L50" s="42">
        <f t="shared" si="4"/>
        <v>0.42353339548483965</v>
      </c>
      <c r="M50" s="92"/>
      <c r="N50" s="90">
        <f t="shared" si="0"/>
        <v>0.6392943595519297</v>
      </c>
      <c r="O50" s="9"/>
      <c r="P50" s="9"/>
      <c r="Q50" s="9"/>
      <c r="R50" s="9"/>
      <c r="S50" s="9"/>
      <c r="T50" s="9"/>
      <c r="U50" s="9"/>
      <c r="V50" s="9"/>
      <c r="W50" s="9"/>
      <c r="X50" s="9"/>
      <c r="Y50" s="9"/>
      <c r="Z50" s="9"/>
    </row>
    <row r="51" spans="2:26" ht="26.4" customHeight="1" x14ac:dyDescent="0.3">
      <c r="B51" s="31" t="s">
        <v>187</v>
      </c>
      <c r="C51" s="42">
        <f>('Income statement'!C36-('Cashflow statement'!C63))/'Income statement'!C36</f>
        <v>1.8073394495412844</v>
      </c>
      <c r="D51" s="42">
        <f>('Income statement'!D36-('Cashflow statement'!D63))/'Income statement'!D36</f>
        <v>1.952191235059761</v>
      </c>
      <c r="E51" s="42">
        <f>('Income statement'!E36-('Cashflow statement'!E63))/'Income statement'!E36</f>
        <v>1.4402420574886536</v>
      </c>
      <c r="F51" s="42">
        <f>('Income statement'!F36-('Cashflow statement'!F63))/'Income statement'!F36</f>
        <v>1.8182423435419441</v>
      </c>
      <c r="G51" s="42">
        <f>('Income statement'!G36-('Cashflow statement'!G63))/'Income statement'!G36</f>
        <v>1.3124137931034483</v>
      </c>
      <c r="H51" s="42">
        <f>('Income statement'!H36-('Cashflow statement'!H63))/'Income statement'!H36</f>
        <v>1.3068176227810679</v>
      </c>
      <c r="I51" s="42">
        <f>('Income statement'!I36-('Cashflow statement'!I63))/'Income statement'!I36</f>
        <v>1.2640659068556537</v>
      </c>
      <c r="J51" s="42">
        <f>('Income statement'!J36-('Cashflow statement'!J63))/'Income statement'!J36</f>
        <v>1.215142013290285</v>
      </c>
      <c r="K51" s="42">
        <f>('Income statement'!K36-('Cashflow statement'!K63))/'Income statement'!K36</f>
        <v>1.1747114712932456</v>
      </c>
      <c r="L51" s="42">
        <f>('Income statement'!L36-('Cashflow statement'!L63))/'Income statement'!L36</f>
        <v>1.1487519540364812</v>
      </c>
      <c r="M51" s="92"/>
      <c r="N51" s="90">
        <f t="shared" si="0"/>
        <v>1.3096157079422581</v>
      </c>
      <c r="O51" s="9"/>
      <c r="P51" s="9"/>
      <c r="Q51" s="9"/>
      <c r="R51" s="9"/>
      <c r="S51" s="9"/>
      <c r="T51" s="9"/>
      <c r="U51" s="9"/>
      <c r="V51" s="9"/>
      <c r="W51" s="9"/>
      <c r="X51" s="9"/>
      <c r="Y51" s="9"/>
      <c r="Z51" s="9"/>
    </row>
    <row r="52" spans="2:26" ht="25.8" customHeight="1" x14ac:dyDescent="0.3">
      <c r="B52" s="31" t="s">
        <v>188</v>
      </c>
      <c r="C52" s="42">
        <f>'Income statement'!C36/AVERAGE('Balance Sheet'!C56,'Balance Sheet'!D56)</f>
        <v>0.36399514268366728</v>
      </c>
      <c r="D52" s="42">
        <f>'Income statement'!D36/AVERAGE('Balance Sheet'!D56,'Balance Sheet'!E56)</f>
        <v>0.35119630614243741</v>
      </c>
      <c r="E52" s="42">
        <f>'Income statement'!E36/AVERAGE('Balance Sheet'!E56,'Balance Sheet'!F56)</f>
        <v>0.34648145721399554</v>
      </c>
      <c r="F52" s="42">
        <f>'Income statement'!F36/AVERAGE('Balance Sheet'!F56,'Balance Sheet'!G56)</f>
        <v>0.38478288715255538</v>
      </c>
      <c r="G52" s="42">
        <f>'Income statement'!G36/AVERAGE('Balance Sheet'!G56,'Balance Sheet'!H56)</f>
        <v>0.31482451679515921</v>
      </c>
      <c r="H52" s="42">
        <f>'Income statement'!H36/AVERAGE('Balance Sheet'!H56,'Balance Sheet'!I56)</f>
        <v>0.24352667332161471</v>
      </c>
      <c r="I52" s="42">
        <f>'Income statement'!I36/AVERAGE('Balance Sheet'!I56,'Balance Sheet'!J56)</f>
        <v>0.21554001668128528</v>
      </c>
      <c r="J52" s="42">
        <f>'Income statement'!J36/AVERAGE('Balance Sheet'!J56,'Balance Sheet'!K56)</f>
        <v>0.20392921901267486</v>
      </c>
      <c r="K52" s="42">
        <f>'Income statement'!K36/AVERAGE('Balance Sheet'!K56,'Balance Sheet'!L56)</f>
        <v>0.22754742825025281</v>
      </c>
      <c r="L52" s="42">
        <f>'Income statement'!L36/AVERAGE('Balance Sheet'!L56,'Balance Sheet'!M56)</f>
        <v>0.27267815469060658</v>
      </c>
      <c r="M52" s="92"/>
      <c r="N52" s="90">
        <f t="shared" si="0"/>
        <v>0.29375133574288292</v>
      </c>
      <c r="O52" s="9"/>
      <c r="P52" s="9"/>
      <c r="Q52" s="9"/>
      <c r="R52" s="9"/>
      <c r="S52" s="9"/>
      <c r="T52" s="9"/>
      <c r="U52" s="9"/>
      <c r="V52" s="9"/>
      <c r="W52" s="9"/>
      <c r="X52" s="9"/>
      <c r="Y52" s="9"/>
      <c r="Z52" s="9"/>
    </row>
    <row r="53" spans="2:26" ht="27.6" customHeight="1" thickBot="1" x14ac:dyDescent="0.35">
      <c r="B53" s="32" t="s">
        <v>189</v>
      </c>
      <c r="C53" s="41">
        <f>C58/'Income statement'!C23</f>
        <v>45.470588235294116</v>
      </c>
      <c r="D53" s="41">
        <f>D58/'Income statement'!D23</f>
        <v>42.051282051282051</v>
      </c>
      <c r="E53" s="41">
        <f>E58/'Income statement'!E23</f>
        <v>32.125</v>
      </c>
      <c r="F53" s="41">
        <f>F58/'Income statement'!F23</f>
        <v>27.534246575342465</v>
      </c>
      <c r="G53" s="41">
        <f>G58/'Income statement'!G23</f>
        <v>37</v>
      </c>
      <c r="H53" s="41">
        <f>H58/'Income statement'!H23</f>
        <v>36.534438302322371</v>
      </c>
      <c r="I53" s="41">
        <f>I58/'Income statement'!I23</f>
        <v>40.707289211609073</v>
      </c>
      <c r="J53" s="41">
        <f>J58/'Income statement'!J23</f>
        <v>47.40187423822919</v>
      </c>
      <c r="K53" s="41">
        <f>K58/'Income statement'!K23</f>
        <v>54.210469679804028</v>
      </c>
      <c r="L53" s="41">
        <f>L58/'Income statement'!L23</f>
        <v>58.889974134675391</v>
      </c>
      <c r="M53" s="92"/>
      <c r="N53" s="90">
        <f t="shared" si="0"/>
        <v>41.379285631445562</v>
      </c>
      <c r="O53" s="9"/>
      <c r="P53" s="9"/>
      <c r="Q53" s="9"/>
      <c r="R53" s="9"/>
      <c r="S53" s="9"/>
      <c r="T53" s="9"/>
      <c r="U53" s="9"/>
      <c r="V53" s="9"/>
      <c r="W53" s="9"/>
      <c r="X53" s="9"/>
      <c r="Y53" s="9"/>
      <c r="Z53" s="9"/>
    </row>
    <row r="54" spans="2:26" x14ac:dyDescent="0.3">
      <c r="B54" s="30"/>
      <c r="C54" s="9"/>
      <c r="D54" s="9"/>
      <c r="E54" s="9"/>
      <c r="F54" s="9"/>
      <c r="G54" s="9"/>
      <c r="H54" s="9"/>
      <c r="I54" s="9"/>
      <c r="J54" s="9"/>
      <c r="K54" s="9"/>
      <c r="L54" s="9"/>
      <c r="M54" s="9"/>
      <c r="N54" s="9"/>
      <c r="O54" s="9"/>
      <c r="P54" s="9"/>
      <c r="Q54" s="9"/>
      <c r="R54" s="9"/>
      <c r="S54" s="9"/>
      <c r="T54" s="9"/>
      <c r="U54" s="9"/>
      <c r="V54" s="9"/>
      <c r="W54" s="9"/>
      <c r="X54" s="9"/>
      <c r="Y54" s="9"/>
      <c r="Z54" s="9"/>
    </row>
    <row r="55" spans="2:26" x14ac:dyDescent="0.3">
      <c r="B55" s="33"/>
      <c r="C55" s="9"/>
      <c r="D55" s="9"/>
      <c r="E55" s="9"/>
      <c r="F55" s="9"/>
      <c r="G55" s="9"/>
      <c r="H55" s="9"/>
      <c r="I55" s="9"/>
      <c r="J55" s="9"/>
      <c r="K55" s="9"/>
      <c r="L55" s="9"/>
      <c r="M55" s="9"/>
      <c r="N55" s="9"/>
      <c r="O55" s="9"/>
      <c r="P55" s="9"/>
      <c r="Q55" s="9"/>
      <c r="R55" s="9"/>
      <c r="S55" s="9"/>
      <c r="T55" s="9"/>
      <c r="U55" s="9"/>
      <c r="V55" s="9"/>
      <c r="W55" s="9"/>
      <c r="X55" s="9"/>
      <c r="Y55" s="9"/>
      <c r="Z55" s="9"/>
    </row>
    <row r="56" spans="2:26" x14ac:dyDescent="0.3">
      <c r="B56" s="33" t="s">
        <v>190</v>
      </c>
      <c r="C56" s="41">
        <f>'Balance Sheet'!C45-'Balance Sheet'!C84</f>
        <v>1323</v>
      </c>
      <c r="D56" s="41">
        <f>'Balance Sheet'!D45-'Balance Sheet'!D84</f>
        <v>1352</v>
      </c>
      <c r="E56" s="41">
        <f>'Balance Sheet'!E45-'Balance Sheet'!E84</f>
        <v>1391</v>
      </c>
      <c r="F56" s="41">
        <f>'Balance Sheet'!F45-'Balance Sheet'!F84</f>
        <v>1559</v>
      </c>
      <c r="G56" s="41">
        <f>'Balance Sheet'!G45-'Balance Sheet'!G84</f>
        <v>2622</v>
      </c>
      <c r="H56" s="41">
        <f>'Balance Sheet'!H45-'Balance Sheet'!H84</f>
        <v>4104.3194410694814</v>
      </c>
      <c r="I56" s="41">
        <f>'Balance Sheet'!I45-'Balance Sheet'!I84</f>
        <v>5937.5986204401024</v>
      </c>
      <c r="J56" s="41">
        <f>'Balance Sheet'!J45-'Balance Sheet'!J84</f>
        <v>8014.2846706060518</v>
      </c>
      <c r="K56" s="41">
        <f>'Balance Sheet'!K45-'Balance Sheet'!K84</f>
        <v>10841.713098667458</v>
      </c>
      <c r="L56" s="41">
        <f>'Balance Sheet'!L45-'Balance Sheet'!L84</f>
        <v>10129.877658001966</v>
      </c>
      <c r="M56" s="9"/>
      <c r="N56" s="9"/>
      <c r="O56" s="9"/>
      <c r="P56" s="9"/>
      <c r="Q56" s="9"/>
      <c r="R56" s="9"/>
      <c r="S56" s="9"/>
      <c r="T56" s="9"/>
      <c r="U56" s="9"/>
      <c r="V56" s="9"/>
      <c r="W56" s="9"/>
      <c r="X56" s="9"/>
      <c r="Y56" s="9"/>
      <c r="Z56" s="9"/>
    </row>
    <row r="57" spans="2:26" x14ac:dyDescent="0.3">
      <c r="B57" s="33" t="s">
        <v>191</v>
      </c>
      <c r="C57" s="41"/>
      <c r="D57" s="41">
        <f>AVERAGE(C56:D56)</f>
        <v>1337.5</v>
      </c>
      <c r="E57" s="41">
        <f>AVERAGE(D56:E56)</f>
        <v>1371.5</v>
      </c>
      <c r="F57" s="41">
        <f t="shared" ref="F57:L57" si="5">AVERAGE(E56:F56)</f>
        <v>1475</v>
      </c>
      <c r="G57" s="41">
        <f t="shared" si="5"/>
        <v>2090.5</v>
      </c>
      <c r="H57" s="41">
        <f t="shared" si="5"/>
        <v>3363.1597205347407</v>
      </c>
      <c r="I57" s="41">
        <f t="shared" si="5"/>
        <v>5020.9590307547915</v>
      </c>
      <c r="J57" s="41">
        <f t="shared" si="5"/>
        <v>6975.9416455230767</v>
      </c>
      <c r="K57" s="41">
        <f t="shared" si="5"/>
        <v>9427.998884636756</v>
      </c>
      <c r="L57" s="41">
        <f t="shared" si="5"/>
        <v>10485.795378334711</v>
      </c>
      <c r="M57" s="9"/>
      <c r="N57" s="9"/>
      <c r="O57" s="9"/>
      <c r="P57" s="9"/>
      <c r="Q57" s="9"/>
      <c r="R57" s="9"/>
      <c r="S57" s="9"/>
      <c r="T57" s="9"/>
      <c r="U57" s="9"/>
      <c r="V57" s="9"/>
      <c r="W57" s="9"/>
      <c r="X57" s="9"/>
      <c r="Y57" s="9"/>
      <c r="Z57" s="9"/>
    </row>
    <row r="58" spans="2:26" x14ac:dyDescent="0.3">
      <c r="B58" s="33" t="s">
        <v>192</v>
      </c>
      <c r="C58" s="41">
        <f>'Income statement'!C27+'Income statement'!C23</f>
        <v>1546</v>
      </c>
      <c r="D58" s="41">
        <f>'Income statement'!D27+'Income statement'!D23</f>
        <v>1640</v>
      </c>
      <c r="E58" s="41">
        <f>'Income statement'!E27+'Income statement'!E23</f>
        <v>1799</v>
      </c>
      <c r="F58" s="41">
        <f>'Income statement'!F27+'Income statement'!F23</f>
        <v>2010</v>
      </c>
      <c r="G58" s="41">
        <f>'Income statement'!G27+'Income statement'!G23</f>
        <v>1961</v>
      </c>
      <c r="H58" s="41">
        <f>'Income statement'!H27+'Income statement'!H23</f>
        <v>2150.049039610104</v>
      </c>
      <c r="I58" s="41">
        <f>'Income statement'!I27+'Income statement'!I23</f>
        <v>2507.8207349090649</v>
      </c>
      <c r="J58" s="41">
        <f>'Income statement'!J27+'Income statement'!J23</f>
        <v>3087.4691017860491</v>
      </c>
      <c r="K58" s="41">
        <f>'Income statement'!K27+'Income statement'!K23</f>
        <v>3775.2871410363873</v>
      </c>
      <c r="L58" s="41">
        <f>'Income statement'!L27+'Income statement'!L23</f>
        <v>4441.0845209453391</v>
      </c>
      <c r="M58" s="9"/>
      <c r="N58" s="9"/>
      <c r="O58" s="9"/>
      <c r="P58" s="9"/>
      <c r="Q58" s="9"/>
      <c r="R58" s="9"/>
      <c r="S58" s="9"/>
      <c r="T58" s="9"/>
      <c r="U58" s="9"/>
      <c r="V58" s="9"/>
      <c r="W58" s="9"/>
      <c r="X58" s="9"/>
      <c r="Y58" s="9"/>
      <c r="Z58" s="9"/>
    </row>
    <row r="59" spans="2:26" x14ac:dyDescent="0.3">
      <c r="B59" s="33" t="s">
        <v>193</v>
      </c>
      <c r="C59" s="41">
        <f>'Income statement'!C23+'Income statement'!C24+'Income statement'!C31</f>
        <v>1696</v>
      </c>
      <c r="D59" s="41">
        <f>'Income statement'!D23+'Income statement'!D24+'Income statement'!D31</f>
        <v>1779</v>
      </c>
      <c r="E59" s="41">
        <f>'Income statement'!E23+'Income statement'!E24+'Income statement'!E31</f>
        <v>1954</v>
      </c>
      <c r="F59" s="41">
        <f>'Income statement'!F23+'Income statement'!F24+'Income statement'!F31</f>
        <v>2168</v>
      </c>
      <c r="G59" s="41">
        <f>'Income statement'!G23+'Income statement'!G24+'Income statement'!G31</f>
        <v>2139</v>
      </c>
      <c r="H59" s="41">
        <f>'Income statement'!H23+'Income statement'!H24+'Income statement'!H31</f>
        <v>2376.2977705870894</v>
      </c>
      <c r="I59" s="41">
        <f>'Income statement'!I23+'Income statement'!I24+'Income statement'!I31</f>
        <v>2734.7520331620844</v>
      </c>
      <c r="J59" s="41">
        <f>'Income statement'!J23+'Income statement'!J24+'Income statement'!J31</f>
        <v>3323.6403670351892</v>
      </c>
      <c r="K59" s="41">
        <f>'Income statement'!K23+'Income statement'!K24+'Income statement'!K31</f>
        <v>4031.5078814553076</v>
      </c>
      <c r="L59" s="41">
        <f>'Income statement'!L23+'Income statement'!L24+'Income statement'!L31</f>
        <v>4727.9401798365625</v>
      </c>
      <c r="M59" s="9"/>
      <c r="N59" s="9"/>
      <c r="O59" s="9"/>
      <c r="P59" s="9"/>
      <c r="Q59" s="9"/>
      <c r="R59" s="9"/>
      <c r="S59" s="9"/>
      <c r="T59" s="9"/>
      <c r="U59" s="9"/>
      <c r="V59" s="9"/>
      <c r="W59" s="9"/>
      <c r="X59" s="9"/>
      <c r="Y59" s="9"/>
      <c r="Z59" s="9"/>
    </row>
    <row r="60" spans="2:26" x14ac:dyDescent="0.3">
      <c r="C60" s="9"/>
      <c r="D60" s="9"/>
      <c r="E60" s="9"/>
      <c r="F60" s="9"/>
      <c r="G60" s="9"/>
      <c r="H60" s="9"/>
      <c r="I60" s="9"/>
      <c r="J60" s="9"/>
      <c r="K60" s="9"/>
      <c r="L60" s="9"/>
      <c r="M60" s="9"/>
      <c r="N60" s="9"/>
      <c r="O60" s="9"/>
      <c r="P60" s="9"/>
      <c r="Q60" s="9"/>
      <c r="R60" s="9"/>
      <c r="S60" s="9"/>
      <c r="T60" s="9"/>
      <c r="U60" s="9"/>
      <c r="V60" s="9"/>
      <c r="W60" s="9"/>
      <c r="X60" s="9"/>
      <c r="Y60" s="9"/>
      <c r="Z60" s="9"/>
    </row>
    <row r="61" spans="2:26" x14ac:dyDescent="0.3">
      <c r="C61" s="9"/>
      <c r="D61" s="9"/>
      <c r="E61" s="9"/>
      <c r="F61" s="9"/>
      <c r="G61" s="9"/>
      <c r="H61" s="9"/>
      <c r="I61" s="9"/>
      <c r="J61" s="9"/>
      <c r="K61" s="9"/>
      <c r="L61" s="9"/>
      <c r="M61" s="9"/>
      <c r="N61" s="9"/>
      <c r="O61" s="9"/>
      <c r="P61" s="9"/>
      <c r="Q61" s="9"/>
      <c r="R61" s="9"/>
      <c r="S61" s="9"/>
      <c r="T61" s="9"/>
      <c r="U61" s="9"/>
      <c r="V61" s="9"/>
      <c r="W61" s="9"/>
      <c r="X61" s="9"/>
      <c r="Y61" s="9"/>
      <c r="Z61" s="9"/>
    </row>
    <row r="62" spans="2:26" x14ac:dyDescent="0.3">
      <c r="C62" s="9"/>
      <c r="D62" s="9"/>
      <c r="E62" s="9"/>
      <c r="F62" s="9"/>
      <c r="G62" s="9"/>
      <c r="H62" s="9"/>
      <c r="I62" s="9"/>
      <c r="J62" s="9"/>
      <c r="K62" s="9"/>
      <c r="L62" s="9"/>
      <c r="M62" s="9"/>
      <c r="N62" s="9"/>
      <c r="O62" s="9"/>
      <c r="P62" s="9"/>
      <c r="Q62" s="9"/>
      <c r="R62" s="9"/>
      <c r="S62" s="9"/>
      <c r="T62" s="9"/>
      <c r="U62" s="9"/>
      <c r="V62" s="9"/>
      <c r="W62" s="9"/>
      <c r="X62" s="9"/>
      <c r="Y62" s="9"/>
      <c r="Z62" s="9"/>
    </row>
    <row r="63" spans="2:26" x14ac:dyDescent="0.3">
      <c r="C63" s="9"/>
      <c r="D63" s="9"/>
      <c r="E63" s="9"/>
      <c r="F63" s="9"/>
      <c r="G63" s="9"/>
      <c r="H63" s="9"/>
      <c r="I63" s="9"/>
      <c r="J63" s="9"/>
      <c r="K63" s="9"/>
      <c r="L63" s="9"/>
      <c r="M63" s="9"/>
      <c r="N63" s="9"/>
      <c r="O63" s="9"/>
      <c r="P63" s="9"/>
      <c r="Q63" s="9"/>
      <c r="R63" s="9"/>
      <c r="S63" s="9"/>
      <c r="T63" s="9"/>
      <c r="U63" s="9"/>
      <c r="V63" s="9"/>
      <c r="W63" s="9"/>
      <c r="X63" s="9"/>
      <c r="Y63" s="9"/>
      <c r="Z63" s="9"/>
    </row>
    <row r="64" spans="2:26" x14ac:dyDescent="0.3">
      <c r="C64" s="9"/>
      <c r="D64" s="9"/>
      <c r="E64" s="9"/>
      <c r="F64" s="9"/>
      <c r="G64" s="9"/>
      <c r="H64" s="9"/>
      <c r="I64" s="9"/>
      <c r="J64" s="9"/>
      <c r="K64" s="9"/>
      <c r="L64" s="9"/>
      <c r="M64" s="9"/>
      <c r="N64" s="9"/>
      <c r="O64" s="9"/>
      <c r="P64" s="9"/>
      <c r="Q64" s="9"/>
      <c r="R64" s="9"/>
      <c r="S64" s="9"/>
      <c r="T64" s="9"/>
      <c r="U64" s="9"/>
      <c r="V64" s="9"/>
      <c r="W64" s="9"/>
      <c r="X64" s="9"/>
      <c r="Y64" s="9"/>
      <c r="Z64" s="9"/>
    </row>
    <row r="65" spans="3:26" x14ac:dyDescent="0.3">
      <c r="C65" s="9"/>
      <c r="D65" s="9"/>
      <c r="E65" s="9"/>
      <c r="F65" s="9"/>
      <c r="G65" s="9"/>
      <c r="H65" s="9"/>
      <c r="I65" s="9"/>
      <c r="J65" s="9"/>
      <c r="K65" s="9"/>
      <c r="L65" s="9"/>
      <c r="M65" s="9"/>
      <c r="N65" s="9"/>
      <c r="O65" s="9"/>
      <c r="P65" s="9"/>
      <c r="Q65" s="9"/>
      <c r="R65" s="9"/>
      <c r="S65" s="9"/>
      <c r="T65" s="9"/>
      <c r="U65" s="9"/>
      <c r="V65" s="9"/>
      <c r="W65" s="9"/>
      <c r="X65" s="9"/>
      <c r="Y65" s="9"/>
      <c r="Z65" s="9"/>
    </row>
    <row r="66" spans="3:26" x14ac:dyDescent="0.3">
      <c r="C66" s="9"/>
      <c r="D66" s="9"/>
      <c r="E66" s="9"/>
      <c r="F66" s="9"/>
      <c r="G66" s="9"/>
      <c r="H66" s="9"/>
      <c r="I66" s="9"/>
      <c r="J66" s="9"/>
      <c r="K66" s="9"/>
      <c r="L66" s="9"/>
      <c r="M66" s="9"/>
      <c r="N66" s="9"/>
      <c r="O66" s="9"/>
      <c r="P66" s="9"/>
      <c r="Q66" s="9"/>
      <c r="R66" s="9"/>
      <c r="S66" s="9"/>
      <c r="T66" s="9"/>
      <c r="U66" s="9"/>
      <c r="V66" s="9"/>
      <c r="W66" s="9"/>
      <c r="X66" s="9"/>
      <c r="Y66" s="9"/>
      <c r="Z66" s="9"/>
    </row>
    <row r="67" spans="3:26" x14ac:dyDescent="0.3">
      <c r="C67" s="9"/>
      <c r="D67" s="9"/>
      <c r="E67" s="9"/>
      <c r="F67" s="9"/>
      <c r="G67" s="9"/>
      <c r="H67" s="9"/>
      <c r="I67" s="9"/>
      <c r="J67" s="9"/>
      <c r="K67" s="9"/>
      <c r="L67" s="9"/>
      <c r="M67" s="9"/>
      <c r="N67" s="9"/>
      <c r="O67" s="9"/>
      <c r="P67" s="9"/>
      <c r="Q67" s="9"/>
      <c r="R67" s="9"/>
      <c r="S67" s="9"/>
      <c r="T67" s="9"/>
      <c r="U67" s="9"/>
      <c r="V67" s="9"/>
      <c r="W67" s="9"/>
      <c r="X67" s="9"/>
      <c r="Y67" s="9"/>
      <c r="Z67" s="9"/>
    </row>
    <row r="68" spans="3:26" x14ac:dyDescent="0.3">
      <c r="C68" s="9"/>
      <c r="D68" s="9"/>
      <c r="E68" s="9"/>
      <c r="F68" s="9"/>
      <c r="G68" s="9"/>
      <c r="H68" s="9"/>
      <c r="I68" s="9"/>
      <c r="J68" s="9"/>
      <c r="K68" s="9"/>
      <c r="L68" s="9"/>
      <c r="M68" s="9"/>
      <c r="N68" s="9"/>
      <c r="O68" s="9"/>
      <c r="P68" s="9"/>
      <c r="Q68" s="9"/>
      <c r="R68" s="9"/>
      <c r="S68" s="9"/>
      <c r="T68" s="9"/>
      <c r="U68" s="9"/>
      <c r="V68" s="9"/>
      <c r="W68" s="9"/>
      <c r="X68" s="9"/>
      <c r="Y68" s="9"/>
      <c r="Z68" s="9"/>
    </row>
    <row r="69" spans="3:26" x14ac:dyDescent="0.3">
      <c r="C69" s="9"/>
      <c r="D69" s="9"/>
      <c r="E69" s="9"/>
      <c r="F69" s="9"/>
      <c r="G69" s="9"/>
      <c r="H69" s="9"/>
      <c r="I69" s="9"/>
      <c r="J69" s="9"/>
      <c r="K69" s="9"/>
      <c r="L69" s="9"/>
      <c r="M69" s="9"/>
      <c r="N69" s="9"/>
      <c r="O69" s="9"/>
      <c r="P69" s="9"/>
      <c r="Q69" s="9"/>
      <c r="R69" s="9"/>
      <c r="S69" s="9"/>
      <c r="T69" s="9"/>
      <c r="U69" s="9"/>
      <c r="V69" s="9"/>
      <c r="W69" s="9"/>
      <c r="X69" s="9"/>
      <c r="Y69" s="9"/>
      <c r="Z69" s="9"/>
    </row>
    <row r="70" spans="3:26" x14ac:dyDescent="0.3">
      <c r="C70" s="9"/>
      <c r="D70" s="9"/>
      <c r="E70" s="9"/>
      <c r="F70" s="9"/>
      <c r="G70" s="9"/>
      <c r="H70" s="9"/>
      <c r="I70" s="9"/>
      <c r="J70" s="9"/>
      <c r="K70" s="9"/>
      <c r="L70" s="9"/>
      <c r="M70" s="9"/>
      <c r="N70" s="9"/>
      <c r="O70" s="9"/>
      <c r="P70" s="9"/>
      <c r="Q70" s="9"/>
      <c r="R70" s="9"/>
      <c r="S70" s="9"/>
      <c r="T70" s="9"/>
      <c r="U70" s="9"/>
      <c r="V70" s="9"/>
      <c r="W70" s="9"/>
      <c r="X70" s="9"/>
      <c r="Y70" s="9"/>
      <c r="Z70" s="9"/>
    </row>
    <row r="71" spans="3:26" x14ac:dyDescent="0.3">
      <c r="C71" s="9"/>
      <c r="D71" s="9"/>
      <c r="E71" s="9"/>
      <c r="F71" s="9"/>
      <c r="G71" s="9"/>
      <c r="H71" s="9"/>
      <c r="I71" s="9"/>
      <c r="J71" s="9"/>
      <c r="K71" s="9"/>
      <c r="L71" s="9"/>
      <c r="M71" s="9"/>
      <c r="N71" s="9"/>
      <c r="O71" s="9"/>
      <c r="P71" s="9"/>
      <c r="Q71" s="9"/>
      <c r="R71" s="9"/>
      <c r="S71" s="9"/>
      <c r="T71" s="9"/>
      <c r="U71" s="9"/>
      <c r="V71" s="9"/>
      <c r="W71" s="9"/>
      <c r="X71" s="9"/>
      <c r="Y71" s="9"/>
      <c r="Z71" s="9"/>
    </row>
  </sheetData>
  <mergeCells count="14">
    <mergeCell ref="E2:H5"/>
    <mergeCell ref="G10:G11"/>
    <mergeCell ref="H10:H11"/>
    <mergeCell ref="M10:M11"/>
    <mergeCell ref="N10:N11"/>
    <mergeCell ref="B10:B11"/>
    <mergeCell ref="C10:C11"/>
    <mergeCell ref="D10:D11"/>
    <mergeCell ref="E10:E11"/>
    <mergeCell ref="F10:F11"/>
    <mergeCell ref="I10:I11"/>
    <mergeCell ref="J10:J11"/>
    <mergeCell ref="K10:K11"/>
    <mergeCell ref="L10:L11"/>
  </mergeCells>
  <phoneticPr fontId="15" type="noConversion"/>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markers="1" high="1" low="1" first="1" last="1" negative="1" xr2:uid="{733EB186-6D31-40AF-8469-932D064D8950}">
          <x14:colorSeries theme="1" tint="0.14999847407452621"/>
          <x14:colorNegative rgb="FFD00000"/>
          <x14:colorAxis rgb="FF000000"/>
          <x14:colorMarkers rgb="FFD00000"/>
          <x14:colorFirst rgb="FFD00000"/>
          <x14:colorLast rgb="FFD00000"/>
          <x14:colorHigh rgb="FFD00000"/>
          <x14:colorLow rgb="FFD00000"/>
          <x14:sparklines>
            <x14:sparkline>
              <xm:f>'Ratio Analysis'!D13:L13</xm:f>
              <xm:sqref>M13</xm:sqref>
            </x14:sparkline>
          </x14:sparklines>
        </x14:sparklineGroup>
        <x14:sparklineGroup displayEmptyCellsAs="gap" markers="1" high="1" low="1" first="1" last="1" negative="1" xr2:uid="{D5C43FFA-A207-4B91-9731-DAD4ED8DE380}">
          <x14:colorSeries theme="1" tint="0.14999847407452621"/>
          <x14:colorNegative rgb="FFD00000"/>
          <x14:colorAxis rgb="FF000000"/>
          <x14:colorMarkers rgb="FFD00000"/>
          <x14:colorFirst rgb="FFD00000"/>
          <x14:colorLast rgb="FFD00000"/>
          <x14:colorHigh rgb="FFD00000"/>
          <x14:colorLow rgb="FFD00000"/>
          <x14:sparklines>
            <x14:sparkline>
              <xm:f>'Ratio Analysis'!D14:L14</xm:f>
              <xm:sqref>M14</xm:sqref>
            </x14:sparkline>
            <x14:sparkline>
              <xm:f>'Ratio Analysis'!D15:L15</xm:f>
              <xm:sqref>M15</xm:sqref>
            </x14:sparkline>
            <x14:sparkline>
              <xm:f>'Ratio Analysis'!D16:L16</xm:f>
              <xm:sqref>M16</xm:sqref>
            </x14:sparkline>
            <x14:sparkline>
              <xm:f>'Ratio Analysis'!D17:L17</xm:f>
              <xm:sqref>M17</xm:sqref>
            </x14:sparkline>
            <x14:sparkline>
              <xm:f>'Ratio Analysis'!D18:L18</xm:f>
              <xm:sqref>M18</xm:sqref>
            </x14:sparkline>
            <x14:sparkline>
              <xm:f>'Ratio Analysis'!D19:L19</xm:f>
              <xm:sqref>M19</xm:sqref>
            </x14:sparkline>
            <x14:sparkline>
              <xm:f>'Ratio Analysis'!D20:L20</xm:f>
              <xm:sqref>M20</xm:sqref>
            </x14:sparkline>
            <x14:sparkline>
              <xm:f>'Ratio Analysis'!D21:L21</xm:f>
              <xm:sqref>M21</xm:sqref>
            </x14:sparkline>
            <x14:sparkline>
              <xm:f>'Ratio Analysis'!D22:L22</xm:f>
              <xm:sqref>M22</xm:sqref>
            </x14:sparkline>
            <x14:sparkline>
              <xm:f>'Ratio Analysis'!D23:L23</xm:f>
              <xm:sqref>M23</xm:sqref>
            </x14:sparkline>
            <x14:sparkline>
              <xm:f>'Ratio Analysis'!D24:L24</xm:f>
              <xm:sqref>M24</xm:sqref>
            </x14:sparkline>
            <x14:sparkline>
              <xm:f>'Ratio Analysis'!D25:L25</xm:f>
              <xm:sqref>M25</xm:sqref>
            </x14:sparkline>
            <x14:sparkline>
              <xm:f>'Ratio Analysis'!D26:L26</xm:f>
              <xm:sqref>M26</xm:sqref>
            </x14:sparkline>
            <x14:sparkline>
              <xm:f>'Ratio Analysis'!D27:L27</xm:f>
              <xm:sqref>M27</xm:sqref>
            </x14:sparkline>
            <x14:sparkline>
              <xm:f>'Ratio Analysis'!D28:L28</xm:f>
              <xm:sqref>M28</xm:sqref>
            </x14:sparkline>
            <x14:sparkline>
              <xm:f>'Ratio Analysis'!D29:L29</xm:f>
              <xm:sqref>M29</xm:sqref>
            </x14:sparkline>
            <x14:sparkline>
              <xm:f>'Ratio Analysis'!D30:L30</xm:f>
              <xm:sqref>M30</xm:sqref>
            </x14:sparkline>
            <x14:sparkline>
              <xm:f>'Ratio Analysis'!D31:L31</xm:f>
              <xm:sqref>M31</xm:sqref>
            </x14:sparkline>
            <x14:sparkline>
              <xm:f>'Ratio Analysis'!D32:L32</xm:f>
              <xm:sqref>M32</xm:sqref>
            </x14:sparkline>
            <x14:sparkline>
              <xm:f>'Ratio Analysis'!D33:L33</xm:f>
              <xm:sqref>M33</xm:sqref>
            </x14:sparkline>
            <x14:sparkline>
              <xm:f>'Ratio Analysis'!D34:L34</xm:f>
              <xm:sqref>M34</xm:sqref>
            </x14:sparkline>
            <x14:sparkline>
              <xm:f>'Ratio Analysis'!D35:L35</xm:f>
              <xm:sqref>M35</xm:sqref>
            </x14:sparkline>
            <x14:sparkline>
              <xm:f>'Ratio Analysis'!D36:L36</xm:f>
              <xm:sqref>M36</xm:sqref>
            </x14:sparkline>
            <x14:sparkline>
              <xm:f>'Ratio Analysis'!D37:L37</xm:f>
              <xm:sqref>M37</xm:sqref>
            </x14:sparkline>
            <x14:sparkline>
              <xm:f>'Ratio Analysis'!D38:L38</xm:f>
              <xm:sqref>M38</xm:sqref>
            </x14:sparkline>
            <x14:sparkline>
              <xm:f>'Ratio Analysis'!D39:L39</xm:f>
              <xm:sqref>M39</xm:sqref>
            </x14:sparkline>
            <x14:sparkline>
              <xm:f>'Ratio Analysis'!D40:L40</xm:f>
              <xm:sqref>M40</xm:sqref>
            </x14:sparkline>
            <x14:sparkline>
              <xm:f>'Ratio Analysis'!D41:L41</xm:f>
              <xm:sqref>M41</xm:sqref>
            </x14:sparkline>
            <x14:sparkline>
              <xm:f>'Ratio Analysis'!D42:L42</xm:f>
              <xm:sqref>M42</xm:sqref>
            </x14:sparkline>
            <x14:sparkline>
              <xm:f>'Ratio Analysis'!D43:L43</xm:f>
              <xm:sqref>M43</xm:sqref>
            </x14:sparkline>
            <x14:sparkline>
              <xm:f>'Ratio Analysis'!D44:L44</xm:f>
              <xm:sqref>M44</xm:sqref>
            </x14:sparkline>
            <x14:sparkline>
              <xm:f>'Ratio Analysis'!D45:L45</xm:f>
              <xm:sqref>M45</xm:sqref>
            </x14:sparkline>
            <x14:sparkline>
              <xm:f>'Ratio Analysis'!D46:L46</xm:f>
              <xm:sqref>M46</xm:sqref>
            </x14:sparkline>
            <x14:sparkline>
              <xm:f>'Ratio Analysis'!D47:L47</xm:f>
              <xm:sqref>M47</xm:sqref>
            </x14:sparkline>
            <x14:sparkline>
              <xm:f>'Ratio Analysis'!D48:L48</xm:f>
              <xm:sqref>M48</xm:sqref>
            </x14:sparkline>
            <x14:sparkline>
              <xm:f>'Ratio Analysis'!D49:L49</xm:f>
              <xm:sqref>M49</xm:sqref>
            </x14:sparkline>
            <x14:sparkline>
              <xm:f>'Ratio Analysis'!D50:L50</xm:f>
              <xm:sqref>M50</xm:sqref>
            </x14:sparkline>
            <x14:sparkline>
              <xm:f>'Ratio Analysis'!D51:L51</xm:f>
              <xm:sqref>M51</xm:sqref>
            </x14:sparkline>
            <x14:sparkline>
              <xm:f>'Ratio Analysis'!D52:L52</xm:f>
              <xm:sqref>M52</xm:sqref>
            </x14:sparkline>
            <x14:sparkline>
              <xm:f>'Ratio Analysis'!D53:L53</xm:f>
              <xm:sqref>M53</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FFA1-162B-414F-9285-57C52429880F}">
  <dimension ref="B2:L73"/>
  <sheetViews>
    <sheetView topLeftCell="A15" zoomScale="84" workbookViewId="0">
      <selection activeCell="N33" sqref="N33"/>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3" spans="2:12" x14ac:dyDescent="0.3">
      <c r="B13" s="8" t="s">
        <v>194</v>
      </c>
      <c r="C13" s="37"/>
      <c r="D13" s="37"/>
      <c r="E13" s="37"/>
      <c r="F13" s="37"/>
      <c r="G13" s="37"/>
      <c r="H13" s="37"/>
      <c r="I13" s="37"/>
      <c r="J13" s="37"/>
      <c r="K13" s="37"/>
      <c r="L13" s="37"/>
    </row>
    <row r="14" spans="2:12" x14ac:dyDescent="0.3">
      <c r="B14" s="1" t="s">
        <v>195</v>
      </c>
      <c r="C14" s="38">
        <f>'Revenue schedule'!C13</f>
        <v>0</v>
      </c>
      <c r="D14" s="38">
        <f>'Revenue schedule'!D13</f>
        <v>0.18190854870775341</v>
      </c>
      <c r="E14" s="38">
        <f>'Revenue schedule'!E13</f>
        <v>2.6492851135407891E-2</v>
      </c>
      <c r="F14" s="38">
        <f>'Revenue schedule'!F13</f>
        <v>-1.1368291683736209E-2</v>
      </c>
      <c r="G14" s="38">
        <f>'Revenue schedule'!G13</f>
        <v>0.12203460064228744</v>
      </c>
      <c r="H14" s="95">
        <f>'Revenue schedule'!H13</f>
        <v>0.13423806070651617</v>
      </c>
      <c r="I14" s="95">
        <f>'Revenue schedule'!I13</f>
        <v>0.14766186677716778</v>
      </c>
      <c r="J14" s="95">
        <f>'Revenue schedule'!J13</f>
        <v>0.16242805345488456</v>
      </c>
      <c r="K14" s="95">
        <f>'Revenue schedule'!K13</f>
        <v>0.17867085880037303</v>
      </c>
      <c r="L14" s="95">
        <f>'Revenue schedule'!L13</f>
        <v>0.19653794468041033</v>
      </c>
    </row>
    <row r="15" spans="2:12" x14ac:dyDescent="0.3">
      <c r="B15" s="1"/>
      <c r="C15" s="38"/>
      <c r="D15" s="38"/>
      <c r="E15" s="38"/>
      <c r="F15" s="38"/>
      <c r="G15" s="38"/>
      <c r="H15" s="38"/>
      <c r="I15" s="38"/>
      <c r="J15" s="38"/>
      <c r="K15" s="38"/>
      <c r="L15" s="38"/>
    </row>
    <row r="16" spans="2:12" x14ac:dyDescent="0.3">
      <c r="B16" s="8" t="s">
        <v>196</v>
      </c>
      <c r="C16" s="49"/>
      <c r="D16" s="49"/>
      <c r="E16" s="49"/>
      <c r="F16" s="49"/>
      <c r="G16" s="49"/>
      <c r="H16" s="49"/>
      <c r="I16" s="49"/>
      <c r="J16" s="49"/>
      <c r="K16" s="49"/>
      <c r="L16" s="49"/>
    </row>
    <row r="17" spans="2:12" x14ac:dyDescent="0.3">
      <c r="B17" s="1" t="s">
        <v>15</v>
      </c>
      <c r="C17" s="42">
        <f>'Cost Schedule'!C20</f>
        <v>0.53056660039761427</v>
      </c>
      <c r="D17" s="42">
        <f>'Cost Schedule'!D20</f>
        <v>0.57148864592094195</v>
      </c>
      <c r="E17" s="42">
        <f>'Cost Schedule'!E20</f>
        <v>0.54803359278984021</v>
      </c>
      <c r="F17" s="42">
        <f>'Cost Schedule'!F20</f>
        <v>0.49186781311509375</v>
      </c>
      <c r="G17" s="42">
        <f>'Cost Schedule'!G20</f>
        <v>0.49746099159819041</v>
      </c>
      <c r="H17" s="95">
        <f>'Cost Schedule'!H20</f>
        <v>0.52788352876433609</v>
      </c>
      <c r="I17" s="95">
        <f>'Cost Schedule'!I20</f>
        <v>0.52734691443768045</v>
      </c>
      <c r="J17" s="95">
        <f>'Cost Schedule'!J20</f>
        <v>0.51851856814102815</v>
      </c>
      <c r="K17" s="95">
        <f>'Cost Schedule'!K20</f>
        <v>0.51261556321126578</v>
      </c>
      <c r="L17" s="95">
        <f>'Cost Schedule'!L20</f>
        <v>0.51676511323050023</v>
      </c>
    </row>
    <row r="18" spans="2:12" x14ac:dyDescent="0.3">
      <c r="B18" s="1"/>
      <c r="C18" s="42"/>
      <c r="D18" s="42"/>
      <c r="E18" s="42"/>
      <c r="F18" s="42"/>
      <c r="G18" s="42"/>
      <c r="H18" s="42"/>
      <c r="I18" s="42"/>
      <c r="J18" s="42"/>
      <c r="K18" s="42"/>
      <c r="L18" s="42"/>
    </row>
    <row r="19" spans="2:12" x14ac:dyDescent="0.3">
      <c r="B19" s="36" t="s">
        <v>197</v>
      </c>
      <c r="C19" s="42">
        <f>'Cost Schedule'!C31</f>
        <v>7.0825049701789267E-2</v>
      </c>
      <c r="D19" s="42">
        <f>'Cost Schedule'!D31</f>
        <v>6.1606391925988227E-2</v>
      </c>
      <c r="E19" s="42">
        <f>'Cost Schedule'!E31</f>
        <v>6.6878328553871366E-2</v>
      </c>
      <c r="F19" s="42">
        <f>'Cost Schedule'!F31</f>
        <v>7.6970889878794163E-2</v>
      </c>
      <c r="G19" s="42">
        <f>'Cost Schedule'!G31</f>
        <v>7.6724217523774355E-2</v>
      </c>
      <c r="H19" s="95">
        <f>'Cost Schedule'!H31</f>
        <v>7.0600975516843481E-2</v>
      </c>
      <c r="I19" s="95">
        <f>'Cost Schedule'!I31</f>
        <v>7.0600975516843481E-2</v>
      </c>
      <c r="J19" s="95">
        <f>'Cost Schedule'!J31</f>
        <v>7.0600975516843481E-2</v>
      </c>
      <c r="K19" s="95">
        <f>'Cost Schedule'!K31</f>
        <v>7.0600975516843481E-2</v>
      </c>
      <c r="L19" s="95">
        <f>'Cost Schedule'!L31</f>
        <v>7.0600975516843481E-2</v>
      </c>
    </row>
    <row r="20" spans="2:12" x14ac:dyDescent="0.3">
      <c r="B20" s="36"/>
      <c r="C20" s="42"/>
      <c r="D20" s="42"/>
      <c r="E20" s="42"/>
      <c r="F20" s="42"/>
      <c r="G20" s="42"/>
      <c r="H20" s="42"/>
      <c r="I20" s="42"/>
      <c r="J20" s="42"/>
      <c r="K20" s="42"/>
      <c r="L20" s="42"/>
    </row>
    <row r="21" spans="2:12" x14ac:dyDescent="0.3">
      <c r="B21" s="36" t="s">
        <v>198</v>
      </c>
      <c r="C21" s="42">
        <f>'Cost Schedule'!C41</f>
        <v>0.27022518765638032</v>
      </c>
      <c r="D21" s="42">
        <f>'Cost Schedule'!D41</f>
        <v>0.27569721115537849</v>
      </c>
      <c r="E21" s="42">
        <f>'Cost Schedule'!E41</f>
        <v>0.31845688350983359</v>
      </c>
      <c r="F21" s="42">
        <f>'Cost Schedule'!F41</f>
        <v>0.28961384820239683</v>
      </c>
      <c r="G21" s="42">
        <f>'Cost Schedule'!G41</f>
        <v>0.31586206896551722</v>
      </c>
      <c r="H21" s="95">
        <f>'Cost Schedule'!H41</f>
        <v>0.2939710398979013</v>
      </c>
      <c r="I21" s="95">
        <f>'Cost Schedule'!I41</f>
        <v>0.29872021034620549</v>
      </c>
      <c r="J21" s="95">
        <f>'Cost Schedule'!J41</f>
        <v>0.30332481018437085</v>
      </c>
      <c r="K21" s="95">
        <f>'Cost Schedule'!K41</f>
        <v>0.30029839551927834</v>
      </c>
      <c r="L21" s="95">
        <f>'Cost Schedule'!L41</f>
        <v>0.30243530498265464</v>
      </c>
    </row>
    <row r="22" spans="2:12" x14ac:dyDescent="0.3">
      <c r="B22" s="36"/>
      <c r="C22" s="42"/>
      <c r="D22" s="42"/>
      <c r="E22" s="42"/>
      <c r="F22" s="42"/>
      <c r="G22" s="42"/>
      <c r="H22" s="42"/>
      <c r="I22" s="42"/>
      <c r="J22" s="42"/>
      <c r="K22" s="42"/>
      <c r="L22" s="42"/>
    </row>
    <row r="23" spans="2:12" x14ac:dyDescent="0.3">
      <c r="B23" s="36" t="s">
        <v>199</v>
      </c>
      <c r="C23" s="42">
        <f>'Cost Schedule'!C36</f>
        <v>0.20091948310139165</v>
      </c>
      <c r="D23" s="42">
        <f>'Cost Schedule'!D36</f>
        <v>0.19018082422203533</v>
      </c>
      <c r="E23" s="42">
        <f>'Cost Schedule'!E36</f>
        <v>0.1997132322818517</v>
      </c>
      <c r="F23" s="42">
        <f>'Cost Schedule'!F36</f>
        <v>0.22127835905935977</v>
      </c>
      <c r="G23" s="42">
        <f>'Cost Schedule'!G36</f>
        <v>0.2283261010063706</v>
      </c>
      <c r="H23" s="95">
        <f>'Cost Schedule'!H36</f>
        <v>0.20808359993420181</v>
      </c>
      <c r="I23" s="95">
        <f>'Cost Schedule'!I36</f>
        <v>0.20808359993420181</v>
      </c>
      <c r="J23" s="95">
        <f>'Cost Schedule'!J36</f>
        <v>0.20808359993420181</v>
      </c>
      <c r="K23" s="95">
        <f>'Cost Schedule'!K36</f>
        <v>0.20808359993420181</v>
      </c>
      <c r="L23" s="95">
        <f>'Cost Schedule'!L36</f>
        <v>0.20808359993420181</v>
      </c>
    </row>
    <row r="24" spans="2:12" x14ac:dyDescent="0.3">
      <c r="B24" s="1"/>
      <c r="C24" s="42"/>
      <c r="D24" s="42"/>
      <c r="E24" s="42"/>
      <c r="F24" s="42"/>
      <c r="G24" s="42"/>
      <c r="H24" s="42"/>
      <c r="I24" s="42"/>
      <c r="J24" s="42"/>
      <c r="K24" s="42"/>
      <c r="L24" s="42"/>
    </row>
    <row r="25" spans="2:12" x14ac:dyDescent="0.3">
      <c r="B25" s="8" t="s">
        <v>200</v>
      </c>
      <c r="C25" s="62"/>
      <c r="D25" s="62"/>
      <c r="E25" s="62"/>
      <c r="F25" s="62"/>
      <c r="G25" s="62"/>
      <c r="H25" s="62"/>
      <c r="I25" s="62"/>
      <c r="J25" s="62"/>
      <c r="K25" s="62"/>
      <c r="L25" s="62"/>
    </row>
    <row r="26" spans="2:12" x14ac:dyDescent="0.3">
      <c r="B26" s="36" t="s">
        <v>201</v>
      </c>
      <c r="C26" s="93">
        <f>'Asset Schedule'!C25</f>
        <v>7.8670576735092865</v>
      </c>
      <c r="D26" s="93">
        <f>'Asset Schedule'!D25</f>
        <v>8.7749077490774905</v>
      </c>
      <c r="E26" s="93">
        <f>'Asset Schedule'!E25</f>
        <v>7.5223420647149464</v>
      </c>
      <c r="F26" s="93">
        <f>'Asset Schedule'!F25</f>
        <v>5.7526817640047678</v>
      </c>
      <c r="G26" s="93">
        <f>'Asset Schedule'!G25</f>
        <v>5.6323452938117526</v>
      </c>
      <c r="H26" s="96">
        <f>'Asset Schedule'!H25</f>
        <v>7.1098669090236495</v>
      </c>
      <c r="I26" s="96">
        <f>'Asset Schedule'!I25</f>
        <v>6.958428756126521</v>
      </c>
      <c r="J26" s="96">
        <f>'Asset Schedule'!J25</f>
        <v>6.5951329575363271</v>
      </c>
      <c r="K26" s="96">
        <f>'Asset Schedule'!K25</f>
        <v>6.4096911361006033</v>
      </c>
      <c r="L26" s="96">
        <f>'Asset Schedule'!L25</f>
        <v>6.5410930105197709</v>
      </c>
    </row>
    <row r="27" spans="2:12" x14ac:dyDescent="0.3">
      <c r="B27" s="36"/>
      <c r="C27" s="42"/>
      <c r="D27" s="42"/>
      <c r="E27" s="42"/>
      <c r="F27" s="42"/>
      <c r="G27" s="42"/>
      <c r="H27" s="42"/>
      <c r="I27" s="42"/>
      <c r="J27" s="42"/>
      <c r="K27" s="42"/>
      <c r="L27" s="42"/>
    </row>
    <row r="28" spans="2:12" x14ac:dyDescent="0.3">
      <c r="B28" s="36" t="s">
        <v>202</v>
      </c>
      <c r="C28" s="42">
        <f>'Asset Schedule'!C30</f>
        <v>0</v>
      </c>
      <c r="D28" s="42">
        <f>'Asset Schedule'!D30</f>
        <v>-2.9325513196480938E-3</v>
      </c>
      <c r="E28" s="42">
        <f>'Asset Schedule'!E30</f>
        <v>-2.1834061135371178E-2</v>
      </c>
      <c r="F28" s="42">
        <f>'Asset Schedule'!F30</f>
        <v>-1.2405237767057202E-2</v>
      </c>
      <c r="G28" s="42">
        <f>'Asset Schedule'!G30</f>
        <v>-2.0472440944881889E-2</v>
      </c>
      <c r="H28" s="95">
        <f>'Asset Schedule'!H30</f>
        <v>-1.4411072791739591E-2</v>
      </c>
      <c r="I28" s="95">
        <f>'Asset Schedule'!I30</f>
        <v>-1.7280703159762465E-2</v>
      </c>
      <c r="J28" s="95">
        <f>'Asset Schedule'!J30</f>
        <v>-1.6142363665860287E-2</v>
      </c>
      <c r="K28" s="95">
        <f>'Asset Schedule'!K30</f>
        <v>-1.7076645140561057E-2</v>
      </c>
      <c r="L28" s="95">
        <f>'Asset Schedule'!L30</f>
        <v>-1.6227696189480847E-2</v>
      </c>
    </row>
    <row r="29" spans="2:12" x14ac:dyDescent="0.3">
      <c r="B29" s="36"/>
      <c r="C29" s="42"/>
      <c r="D29" s="42"/>
      <c r="E29" s="42"/>
      <c r="F29" s="42"/>
      <c r="G29" s="42"/>
      <c r="H29" s="42"/>
      <c r="I29" s="42"/>
      <c r="J29" s="42"/>
      <c r="K29" s="42"/>
      <c r="L29" s="42"/>
    </row>
    <row r="30" spans="2:12" x14ac:dyDescent="0.3">
      <c r="B30" s="36" t="s">
        <v>203</v>
      </c>
      <c r="C30" s="42">
        <f>'Asset Schedule'!C35</f>
        <v>0</v>
      </c>
      <c r="D30" s="42">
        <f>'Asset Schedule'!D35</f>
        <v>-0.24069264069264068</v>
      </c>
      <c r="E30" s="42">
        <f>'Asset Schedule'!E35</f>
        <v>-0.23360964581763377</v>
      </c>
      <c r="F30" s="42">
        <f>'Asset Schedule'!F35</f>
        <v>-0.1970074812967581</v>
      </c>
      <c r="G30" s="42">
        <f>'Asset Schedule'!G35</f>
        <v>-0.17231364956437561</v>
      </c>
      <c r="H30" s="95">
        <f>'Asset Schedule'!H35</f>
        <v>-0.21090585434285203</v>
      </c>
      <c r="I30" s="95">
        <f>'Asset Schedule'!I35</f>
        <v>-0.21090585434285203</v>
      </c>
      <c r="J30" s="95">
        <f>'Asset Schedule'!J35</f>
        <v>-0.21090585434285203</v>
      </c>
      <c r="K30" s="95">
        <f>'Asset Schedule'!K35</f>
        <v>-0.21090585434285203</v>
      </c>
      <c r="L30" s="95">
        <f>'Asset Schedule'!L35</f>
        <v>-0.21090585434285203</v>
      </c>
    </row>
    <row r="31" spans="2:12" x14ac:dyDescent="0.3">
      <c r="B31" s="1"/>
      <c r="C31" s="42"/>
      <c r="D31" s="42"/>
      <c r="E31" s="42"/>
      <c r="F31" s="42"/>
      <c r="G31" s="42"/>
      <c r="H31" s="42"/>
      <c r="I31" s="42"/>
      <c r="J31" s="42"/>
      <c r="K31" s="42"/>
      <c r="L31" s="42"/>
    </row>
    <row r="32" spans="2:12" x14ac:dyDescent="0.3">
      <c r="B32" s="8" t="s">
        <v>204</v>
      </c>
      <c r="C32" s="49"/>
      <c r="D32" s="49"/>
      <c r="E32" s="49"/>
      <c r="F32" s="49"/>
      <c r="G32" s="49"/>
      <c r="H32" s="49"/>
      <c r="I32" s="49"/>
      <c r="J32" s="49"/>
      <c r="K32" s="49"/>
      <c r="L32" s="49"/>
    </row>
    <row r="33" spans="2:12" x14ac:dyDescent="0.3">
      <c r="B33" s="33" t="s">
        <v>205</v>
      </c>
      <c r="C33" s="94">
        <f>'Debt Schedule'!C27</f>
        <v>1.6153081510934394E-3</v>
      </c>
      <c r="D33" s="94">
        <f>'Debt Schedule'!D27</f>
        <v>0</v>
      </c>
      <c r="E33" s="94">
        <f>'Debt Schedule'!E27</f>
        <v>1.3109381401065138E-2</v>
      </c>
      <c r="F33" s="94">
        <f>'Debt Schedule'!F27</f>
        <v>0</v>
      </c>
      <c r="G33" s="94">
        <f>'Debt Schedule'!G27</f>
        <v>0</v>
      </c>
      <c r="H33" s="97">
        <f>'Debt Schedule'!H27</f>
        <v>2.9449379104317199E-3</v>
      </c>
      <c r="I33" s="97">
        <f>'Debt Schedule'!I27</f>
        <v>2.9449379104317152E-3</v>
      </c>
      <c r="J33" s="97">
        <f>'Debt Schedule'!J27</f>
        <v>2.9449379104317152E-3</v>
      </c>
      <c r="K33" s="97">
        <f>'Debt Schedule'!K27</f>
        <v>2.9449379104317152E-3</v>
      </c>
      <c r="L33" s="97">
        <f>'Debt Schedule'!L27</f>
        <v>2.9449379104317152E-3</v>
      </c>
    </row>
    <row r="34" spans="2:12" x14ac:dyDescent="0.3">
      <c r="B34" s="33"/>
      <c r="C34" s="42"/>
      <c r="D34" s="42"/>
      <c r="E34" s="42"/>
      <c r="F34" s="42"/>
      <c r="G34" s="42"/>
      <c r="H34" s="42"/>
      <c r="I34" s="42"/>
      <c r="J34" s="42"/>
      <c r="K34" s="42"/>
      <c r="L34" s="42"/>
    </row>
    <row r="35" spans="2:12" x14ac:dyDescent="0.3">
      <c r="B35" s="33" t="s">
        <v>206</v>
      </c>
      <c r="C35" s="42">
        <f>'Debt Schedule'!C33</f>
        <v>0</v>
      </c>
      <c r="D35" s="42">
        <f>'Debt Schedule'!D33</f>
        <v>-8.8235294117647058E-3</v>
      </c>
      <c r="E35" s="42">
        <f>'Debt Schedule'!E33</f>
        <v>0</v>
      </c>
      <c r="F35" s="42">
        <f>'Debt Schedule'!F33</f>
        <v>-0.19238900634249473</v>
      </c>
      <c r="G35" s="42">
        <f>'Debt Schedule'!G33</f>
        <v>-1.3054830287206266E-2</v>
      </c>
      <c r="H35" s="95">
        <f>'Debt Schedule'!H33</f>
        <v>-5.3566841510366427E-2</v>
      </c>
      <c r="I35" s="95">
        <f>'Debt Schedule'!I33</f>
        <v>-5.3566841510366427E-2</v>
      </c>
      <c r="J35" s="95">
        <f>'Debt Schedule'!J33</f>
        <v>-5.3566841510366427E-2</v>
      </c>
      <c r="K35" s="95">
        <f>'Debt Schedule'!K33</f>
        <v>-5.3566841510366427E-2</v>
      </c>
      <c r="L35" s="95">
        <f>'Debt Schedule'!L33</f>
        <v>-5.3566841510366427E-2</v>
      </c>
    </row>
    <row r="36" spans="2:12" x14ac:dyDescent="0.3">
      <c r="B36" s="33"/>
      <c r="C36" s="42"/>
      <c r="D36" s="42"/>
      <c r="E36" s="42"/>
      <c r="F36" s="42"/>
      <c r="G36" s="42"/>
      <c r="H36" s="42"/>
      <c r="I36" s="42"/>
      <c r="J36" s="42"/>
      <c r="K36" s="42"/>
      <c r="L36" s="42"/>
    </row>
    <row r="37" spans="2:12" x14ac:dyDescent="0.3">
      <c r="B37" s="33" t="s">
        <v>207</v>
      </c>
      <c r="C37" s="42">
        <f>'Debt Schedule'!C39</f>
        <v>0.2</v>
      </c>
      <c r="D37" s="42">
        <f>'Debt Schedule'!D39</f>
        <v>0.11386861313868613</v>
      </c>
      <c r="E37" s="42">
        <f>'Debt Schedule'!E39</f>
        <v>0.13691931540342298</v>
      </c>
      <c r="F37" s="42">
        <f>'Debt Schedule'!F39</f>
        <v>0.17056074766355139</v>
      </c>
      <c r="G37" s="42">
        <f>'Debt Schedule'!G39</f>
        <v>0.13910761154855644</v>
      </c>
      <c r="H37" s="97">
        <f>'Debt Schedule'!H39</f>
        <v>0.15209125755084341</v>
      </c>
      <c r="I37" s="97">
        <f>'Debt Schedule'!I39</f>
        <v>0.15209125755084341</v>
      </c>
      <c r="J37" s="97">
        <f>'Debt Schedule'!J39</f>
        <v>0.15209125755084341</v>
      </c>
      <c r="K37" s="97">
        <f>'Debt Schedule'!K39</f>
        <v>0.15209125755084341</v>
      </c>
      <c r="L37" s="97">
        <f>'Debt Schedule'!L39</f>
        <v>0.15209125755084341</v>
      </c>
    </row>
    <row r="38" spans="2:12" x14ac:dyDescent="0.3">
      <c r="B38" s="30"/>
      <c r="C38" s="42"/>
      <c r="D38" s="42"/>
      <c r="E38" s="42"/>
      <c r="F38" s="42"/>
      <c r="G38" s="42"/>
      <c r="H38" s="42"/>
      <c r="I38" s="42"/>
      <c r="J38" s="42"/>
      <c r="K38" s="42"/>
      <c r="L38" s="42"/>
    </row>
    <row r="39" spans="2:12" x14ac:dyDescent="0.3">
      <c r="B39" s="8" t="s">
        <v>208</v>
      </c>
      <c r="C39" s="49"/>
      <c r="D39" s="49"/>
      <c r="E39" s="49"/>
      <c r="F39" s="49"/>
      <c r="G39" s="49"/>
      <c r="H39" s="49"/>
      <c r="I39" s="49"/>
      <c r="J39" s="49"/>
      <c r="K39" s="49"/>
      <c r="L39" s="49"/>
    </row>
    <row r="40" spans="2:12" x14ac:dyDescent="0.3">
      <c r="B40" s="36" t="s">
        <v>177</v>
      </c>
      <c r="C40" s="93">
        <f>'Working Capital Schedule'!C21</f>
        <v>0</v>
      </c>
      <c r="D40" s="93">
        <f>'Working Capital Schedule'!D21</f>
        <v>4.2836879432624118</v>
      </c>
      <c r="E40" s="93">
        <f>'Working Capital Schedule'!E21</f>
        <v>4.0583996966249529</v>
      </c>
      <c r="F40" s="93">
        <f>'Working Capital Schedule'!F21</f>
        <v>3.7079265911753221</v>
      </c>
      <c r="G40" s="93">
        <f>'Working Capital Schedule'!G21</f>
        <v>4.191365227537923</v>
      </c>
      <c r="H40" s="96">
        <f>'Working Capital Schedule'!H21</f>
        <v>4.0603448646501521</v>
      </c>
      <c r="I40" s="96">
        <f>'Working Capital Schedule'!I21</f>
        <v>4.0045090949970872</v>
      </c>
      <c r="J40" s="96">
        <f>'Working Capital Schedule'!J21</f>
        <v>3.9910364445901205</v>
      </c>
      <c r="K40" s="96">
        <f>'Working Capital Schedule'!K21</f>
        <v>4.0618139079438205</v>
      </c>
      <c r="L40" s="96">
        <f>'Working Capital Schedule'!L21</f>
        <v>4.0294260780452955</v>
      </c>
    </row>
    <row r="41" spans="2:12" x14ac:dyDescent="0.3">
      <c r="B41" s="30"/>
      <c r="C41" s="93"/>
      <c r="D41" s="93"/>
      <c r="E41" s="93"/>
      <c r="F41" s="93"/>
      <c r="G41" s="93"/>
      <c r="I41" s="93"/>
      <c r="J41" s="93"/>
      <c r="K41" s="93"/>
      <c r="L41" s="93"/>
    </row>
    <row r="42" spans="2:12" x14ac:dyDescent="0.3">
      <c r="B42" s="36" t="s">
        <v>175</v>
      </c>
      <c r="C42" s="93">
        <f>'Working Capital Schedule'!C33</f>
        <v>0</v>
      </c>
      <c r="D42" s="93">
        <f>'Working Capital Schedule'!D33</f>
        <v>18.292307692307691</v>
      </c>
      <c r="E42" s="93">
        <f>'Working Capital Schedule'!E33</f>
        <v>11.714457108578284</v>
      </c>
      <c r="F42" s="93">
        <f>'Working Capital Schedule'!F33</f>
        <v>9.2639155470249523</v>
      </c>
      <c r="G42" s="93">
        <f>'Working Capital Schedule'!G33</f>
        <v>9.2572649572649581</v>
      </c>
      <c r="H42" s="96">
        <f>'Working Capital Schedule'!H33</f>
        <v>12.131986326293971</v>
      </c>
      <c r="I42" s="96">
        <f>'Working Capital Schedule'!I33</f>
        <v>10.591905984790541</v>
      </c>
      <c r="J42" s="96">
        <f>'Working Capital Schedule'!J33</f>
        <v>10.311268203843605</v>
      </c>
      <c r="K42" s="96">
        <f>'Working Capital Schedule'!K33</f>
        <v>10.573106368048268</v>
      </c>
      <c r="L42" s="96">
        <f>'Working Capital Schedule'!L33</f>
        <v>10.902066720744095</v>
      </c>
    </row>
    <row r="43" spans="2:12" x14ac:dyDescent="0.3">
      <c r="B43" s="30"/>
      <c r="C43" s="93"/>
      <c r="D43" s="93"/>
      <c r="E43" s="93"/>
      <c r="F43" s="93"/>
      <c r="G43" s="93"/>
      <c r="H43" s="93"/>
      <c r="I43" s="93"/>
      <c r="J43" s="93"/>
      <c r="K43" s="93"/>
      <c r="L43" s="93"/>
    </row>
    <row r="44" spans="2:12" x14ac:dyDescent="0.3">
      <c r="B44" s="36" t="s">
        <v>176</v>
      </c>
      <c r="C44" s="93">
        <f>'Working Capital Schedule'!C45</f>
        <v>0</v>
      </c>
      <c r="D44" s="93">
        <f>'Working Capital Schedule'!D45</f>
        <v>0.39628732849071829</v>
      </c>
      <c r="E44" s="93">
        <f>'Working Capital Schedule'!E45</f>
        <v>0.38698140200286124</v>
      </c>
      <c r="F44" s="93">
        <f>'Working Capital Schedule'!F45</f>
        <v>0.4958786679854929</v>
      </c>
      <c r="G44" s="93">
        <f>'Working Capital Schedule'!G45</f>
        <v>0.65217391304347827</v>
      </c>
      <c r="H44" s="96">
        <f>'Working Capital Schedule'!H45</f>
        <v>0.48283032788063768</v>
      </c>
      <c r="I44" s="96">
        <f>'Working Capital Schedule'!I45</f>
        <v>0.48283032788063768</v>
      </c>
      <c r="J44" s="96">
        <f>'Working Capital Schedule'!J45</f>
        <v>0.48283032788063768</v>
      </c>
      <c r="K44" s="96">
        <f>'Working Capital Schedule'!K45</f>
        <v>0.48283032788063768</v>
      </c>
      <c r="L44" s="96">
        <f>'Working Capital Schedule'!L45</f>
        <v>0.48283032788063768</v>
      </c>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44BF-D184-45FE-8239-F9EF35D375F3}">
  <dimension ref="B2:L73"/>
  <sheetViews>
    <sheetView topLeftCell="G2" zoomScale="83" workbookViewId="0">
      <selection activeCell="B28" sqref="B28"/>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3" spans="2:12" x14ac:dyDescent="0.3">
      <c r="B13" s="8" t="s">
        <v>209</v>
      </c>
      <c r="D13" s="38">
        <f>D15/C15-1</f>
        <v>0.18190854870775341</v>
      </c>
      <c r="E13" s="38">
        <f t="shared" ref="E13:G13" si="0">E15/D15-1</f>
        <v>2.6492851135407891E-2</v>
      </c>
      <c r="F13" s="38">
        <f t="shared" si="0"/>
        <v>-1.1368291683736209E-2</v>
      </c>
      <c r="G13" s="38">
        <f t="shared" si="0"/>
        <v>0.12203460064228744</v>
      </c>
      <c r="H13" s="40">
        <f>G13+G13*10%</f>
        <v>0.13423806070651617</v>
      </c>
      <c r="I13" s="40">
        <f>H13+H13*10%</f>
        <v>0.14766186677716778</v>
      </c>
      <c r="J13" s="40">
        <f>I13+I13*10%</f>
        <v>0.16242805345488456</v>
      </c>
      <c r="K13" s="40">
        <f t="shared" ref="K13:L13" si="1">J13+J13*10%</f>
        <v>0.17867085880037303</v>
      </c>
      <c r="L13" s="40">
        <f t="shared" si="1"/>
        <v>0.19653794468041033</v>
      </c>
    </row>
    <row r="14" spans="2:12" x14ac:dyDescent="0.3">
      <c r="C14" s="9"/>
      <c r="D14" s="9"/>
      <c r="E14" s="9"/>
      <c r="F14" s="9"/>
      <c r="G14" s="9"/>
      <c r="H14" s="9"/>
      <c r="I14" s="9"/>
      <c r="J14" s="9"/>
      <c r="K14" s="9"/>
      <c r="L14" s="9"/>
    </row>
    <row r="15" spans="2:12" x14ac:dyDescent="0.3">
      <c r="B15" t="s">
        <v>7</v>
      </c>
      <c r="C15" s="9">
        <f>'Income statement'!C14</f>
        <v>8048</v>
      </c>
      <c r="D15" s="9">
        <f>'Income statement'!D14</f>
        <v>9512</v>
      </c>
      <c r="E15" s="9">
        <f>'Income statement'!E14</f>
        <v>9764</v>
      </c>
      <c r="F15" s="9">
        <f>'Income statement'!F14</f>
        <v>9653</v>
      </c>
      <c r="G15" s="9">
        <f>'Income statement'!G14</f>
        <v>10831</v>
      </c>
      <c r="H15" s="41">
        <f>G15*(1+H13)</f>
        <v>12284.932435512275</v>
      </c>
      <c r="I15" s="41">
        <f t="shared" ref="I15:K15" si="2">H15*(1+I13)</f>
        <v>14098.948492171397</v>
      </c>
      <c r="J15" s="41">
        <f t="shared" si="2"/>
        <v>16389.013251515476</v>
      </c>
      <c r="K15" s="41">
        <f t="shared" si="2"/>
        <v>19317.25232405444</v>
      </c>
      <c r="L15" s="41">
        <f>K15*(1+L13)</f>
        <v>23113.825392696977</v>
      </c>
    </row>
    <row r="16" spans="2:12" x14ac:dyDescent="0.3">
      <c r="C16" s="9"/>
      <c r="D16" s="9"/>
      <c r="E16" s="9"/>
      <c r="F16" s="9"/>
      <c r="G16" s="9"/>
      <c r="H16" s="9"/>
      <c r="I16" s="9"/>
      <c r="J16" s="9"/>
      <c r="K16" s="9"/>
      <c r="L16" s="9"/>
    </row>
    <row r="17" spans="3:12" x14ac:dyDescent="0.3">
      <c r="C17" s="9"/>
      <c r="D17" s="9"/>
      <c r="E17" s="9"/>
      <c r="F17" s="9"/>
      <c r="G17" s="9"/>
      <c r="H17" s="9"/>
      <c r="I17" s="9"/>
      <c r="J17" s="9"/>
      <c r="K17" s="9"/>
      <c r="L17" s="9"/>
    </row>
    <row r="18" spans="3:12" x14ac:dyDescent="0.3">
      <c r="C18" s="9"/>
      <c r="D18" s="9"/>
      <c r="E18" s="9"/>
      <c r="F18" s="9"/>
      <c r="G18" s="9"/>
      <c r="H18" s="9"/>
      <c r="I18" s="9"/>
      <c r="J18" s="9"/>
      <c r="K18" s="9"/>
      <c r="L18" s="9"/>
    </row>
    <row r="19" spans="3:12" x14ac:dyDescent="0.3">
      <c r="C19" s="9"/>
      <c r="D19" s="9"/>
      <c r="E19" s="9"/>
      <c r="F19" s="9"/>
      <c r="G19" s="9"/>
      <c r="H19" s="9"/>
      <c r="I19" s="9"/>
      <c r="J19" s="9"/>
      <c r="K19" s="9"/>
      <c r="L19" s="9"/>
    </row>
    <row r="20" spans="3:12" x14ac:dyDescent="0.3">
      <c r="C20" s="9"/>
      <c r="D20" s="9"/>
      <c r="E20" s="9"/>
      <c r="F20" s="9"/>
      <c r="G20" s="9"/>
      <c r="H20" s="9"/>
      <c r="I20" s="9"/>
      <c r="J20" s="9"/>
      <c r="K20" s="9"/>
      <c r="L20" s="9"/>
    </row>
    <row r="21" spans="3:12" x14ac:dyDescent="0.3">
      <c r="C21" s="9"/>
      <c r="D21" s="9"/>
      <c r="E21" s="9"/>
      <c r="F21" s="9"/>
      <c r="G21" s="9"/>
      <c r="H21" s="9"/>
      <c r="I21" s="9"/>
      <c r="J21" s="9"/>
      <c r="K21" s="9"/>
      <c r="L21" s="9"/>
    </row>
    <row r="22" spans="3:12" x14ac:dyDescent="0.3">
      <c r="C22" s="9"/>
      <c r="D22" s="9"/>
      <c r="E22" s="9"/>
      <c r="F22" s="9"/>
      <c r="G22" s="9"/>
      <c r="H22" s="9"/>
      <c r="I22" s="9"/>
      <c r="J22" s="9"/>
      <c r="K22" s="9"/>
      <c r="L22" s="9"/>
    </row>
    <row r="23" spans="3:12" x14ac:dyDescent="0.3">
      <c r="C23" s="9"/>
      <c r="D23" s="9"/>
      <c r="E23" s="9"/>
      <c r="F23" s="9"/>
      <c r="G23" s="9"/>
      <c r="H23" s="9"/>
      <c r="I23" s="9"/>
      <c r="J23" s="9"/>
      <c r="K23" s="9"/>
      <c r="L23" s="9"/>
    </row>
    <row r="24" spans="3:12" x14ac:dyDescent="0.3">
      <c r="C24" s="9"/>
      <c r="D24" s="9"/>
      <c r="E24" s="9"/>
      <c r="F24" s="9"/>
      <c r="G24" s="9"/>
      <c r="H24" s="9"/>
      <c r="I24" s="9"/>
      <c r="J24" s="9"/>
      <c r="K24" s="9"/>
      <c r="L24" s="9"/>
    </row>
    <row r="25" spans="3:12" x14ac:dyDescent="0.3">
      <c r="C25" s="9"/>
      <c r="D25" s="9"/>
      <c r="E25" s="9"/>
      <c r="F25" s="9"/>
      <c r="G25" s="9"/>
      <c r="H25" s="9"/>
      <c r="I25" s="9"/>
      <c r="J25" s="9"/>
      <c r="K25" s="9"/>
      <c r="L25" s="9"/>
    </row>
    <row r="26" spans="3:12" x14ac:dyDescent="0.3">
      <c r="C26" s="9"/>
      <c r="D26" s="9"/>
      <c r="E26" s="9"/>
      <c r="F26" s="9"/>
      <c r="G26" s="9"/>
      <c r="H26" s="9"/>
      <c r="I26" s="9"/>
      <c r="J26" s="9"/>
      <c r="K26" s="9"/>
      <c r="L26" s="9"/>
    </row>
    <row r="27" spans="3:12" x14ac:dyDescent="0.3">
      <c r="C27" s="9"/>
      <c r="D27" s="9"/>
      <c r="E27" s="9"/>
      <c r="F27" s="9"/>
      <c r="G27" s="9"/>
      <c r="H27" s="9"/>
      <c r="I27" s="9"/>
      <c r="J27" s="9"/>
      <c r="K27" s="9"/>
      <c r="L27" s="9"/>
    </row>
    <row r="28" spans="3:12" x14ac:dyDescent="0.3">
      <c r="C28" s="9"/>
      <c r="D28" s="9"/>
      <c r="E28" s="9"/>
      <c r="F28" s="9"/>
      <c r="G28" s="9"/>
      <c r="H28" s="9"/>
      <c r="I28" s="9"/>
      <c r="J28" s="9"/>
      <c r="K28" s="9"/>
      <c r="L28" s="9"/>
    </row>
    <row r="29" spans="3:12" x14ac:dyDescent="0.3">
      <c r="C29" s="9"/>
      <c r="D29" s="9"/>
      <c r="E29" s="9"/>
      <c r="F29" s="9"/>
      <c r="G29" s="9"/>
      <c r="H29" s="9"/>
      <c r="I29" s="9"/>
      <c r="J29" s="9"/>
      <c r="K29" s="9"/>
      <c r="L29" s="9"/>
    </row>
    <row r="30" spans="3:12" x14ac:dyDescent="0.3">
      <c r="C30" s="9"/>
      <c r="D30" s="9"/>
      <c r="E30" s="9"/>
      <c r="F30" s="9"/>
      <c r="G30" s="9"/>
      <c r="H30" s="9"/>
      <c r="I30" s="9"/>
      <c r="J30" s="9"/>
      <c r="K30" s="9"/>
      <c r="L30" s="9"/>
    </row>
    <row r="31" spans="3:12" x14ac:dyDescent="0.3">
      <c r="C31" s="9"/>
      <c r="D31" s="9"/>
      <c r="E31" s="9"/>
      <c r="F31" s="9"/>
      <c r="G31" s="9"/>
      <c r="H31" s="9"/>
      <c r="I31" s="9"/>
      <c r="J31" s="9"/>
      <c r="K31" s="9"/>
      <c r="L31" s="9"/>
    </row>
    <row r="32" spans="3:12" x14ac:dyDescent="0.3">
      <c r="C32" s="9"/>
      <c r="D32" s="9"/>
      <c r="E32" s="9"/>
      <c r="F32" s="9"/>
      <c r="G32" s="9"/>
      <c r="H32" s="9"/>
      <c r="I32" s="9"/>
      <c r="J32" s="9"/>
      <c r="K32" s="9"/>
      <c r="L32" s="9"/>
    </row>
    <row r="33" spans="3:12" x14ac:dyDescent="0.3">
      <c r="C33" s="9"/>
      <c r="D33" s="9"/>
      <c r="E33" s="9"/>
      <c r="F33" s="9"/>
      <c r="G33" s="9"/>
      <c r="H33" s="9"/>
      <c r="I33" s="9"/>
      <c r="J33" s="9"/>
      <c r="K33" s="9"/>
      <c r="L33" s="9"/>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C7C5-9A39-4D8B-B005-24C938157C2E}">
  <dimension ref="B2:L73"/>
  <sheetViews>
    <sheetView tabSelected="1" topLeftCell="G34" zoomScale="69" workbookViewId="0">
      <selection activeCell="G42" sqref="G42"/>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47" t="s">
        <v>7</v>
      </c>
      <c r="C12" s="48">
        <f>'Income statement'!C14</f>
        <v>8048</v>
      </c>
      <c r="D12" s="48">
        <f>'Income statement'!D14</f>
        <v>9512</v>
      </c>
      <c r="E12" s="48">
        <f>'Income statement'!E14</f>
        <v>9764</v>
      </c>
      <c r="F12" s="48">
        <f>'Income statement'!F14</f>
        <v>9653</v>
      </c>
      <c r="G12" s="48">
        <f>'Income statement'!G14</f>
        <v>10831</v>
      </c>
      <c r="H12" s="48">
        <f>'Income statement'!H14</f>
        <v>12284.932435512275</v>
      </c>
      <c r="I12" s="48">
        <f>'Income statement'!I14</f>
        <v>14098.948492171397</v>
      </c>
      <c r="J12" s="48">
        <f>'Income statement'!J14</f>
        <v>16389.013251515476</v>
      </c>
      <c r="K12" s="48">
        <f>'Income statement'!K14</f>
        <v>19317.25232405444</v>
      </c>
      <c r="L12" s="48">
        <f>'Income statement'!L14</f>
        <v>23113.825392696977</v>
      </c>
    </row>
    <row r="13" spans="2:12" x14ac:dyDescent="0.3">
      <c r="C13" s="9"/>
      <c r="D13" s="9"/>
      <c r="E13" s="9"/>
      <c r="F13" s="9"/>
      <c r="G13" s="9"/>
      <c r="H13" s="9"/>
      <c r="I13" s="9"/>
      <c r="J13" s="9"/>
      <c r="K13" s="9"/>
      <c r="L13" s="9"/>
    </row>
    <row r="14" spans="2:12" x14ac:dyDescent="0.3">
      <c r="B14" s="54" t="s">
        <v>211</v>
      </c>
      <c r="C14" s="55"/>
      <c r="D14" s="55"/>
      <c r="E14" s="55"/>
      <c r="F14" s="55"/>
      <c r="G14" s="55"/>
      <c r="H14" s="55"/>
      <c r="I14" s="55"/>
      <c r="J14" s="55"/>
      <c r="K14" s="55"/>
      <c r="L14" s="55"/>
    </row>
    <row r="15" spans="2:12" x14ac:dyDescent="0.3">
      <c r="B15" t="s">
        <v>12</v>
      </c>
      <c r="C15" s="9">
        <f>'Income statement'!C18</f>
        <v>3884</v>
      </c>
      <c r="D15" s="9">
        <f>'Income statement'!D18</f>
        <v>5061</v>
      </c>
      <c r="E15" s="9">
        <f>'Income statement'!E18</f>
        <v>4649</v>
      </c>
      <c r="F15" s="9">
        <f>'Income statement'!F18</f>
        <v>3941</v>
      </c>
      <c r="G15" s="9">
        <f>'Income statement'!G18</f>
        <v>4572</v>
      </c>
      <c r="H15" s="41">
        <f>H18*H23</f>
        <v>5691.2646061067098</v>
      </c>
      <c r="I15" s="41">
        <f t="shared" ref="I15:K15" si="0">I18*I23</f>
        <v>6525.0076862534997</v>
      </c>
      <c r="J15" s="41">
        <f t="shared" si="0"/>
        <v>7457.8735219202999</v>
      </c>
      <c r="K15" s="41">
        <f t="shared" si="0"/>
        <v>8690.305310186468</v>
      </c>
      <c r="L15" s="41">
        <f>L18*L23</f>
        <v>10482.452651460713</v>
      </c>
    </row>
    <row r="16" spans="2:12" x14ac:dyDescent="0.3">
      <c r="B16" t="s">
        <v>13</v>
      </c>
      <c r="C16" s="9">
        <f>'Income statement'!C19</f>
        <v>339</v>
      </c>
      <c r="D16" s="9">
        <f>'Income statement'!D19</f>
        <v>491</v>
      </c>
      <c r="E16" s="9">
        <f>'Income statement'!E19</f>
        <v>541</v>
      </c>
      <c r="F16" s="9">
        <f>'Income statement'!F19</f>
        <v>752</v>
      </c>
      <c r="G16" s="9">
        <f>'Income statement'!G19</f>
        <v>960</v>
      </c>
      <c r="H16" s="41">
        <f>H18*H24</f>
        <v>787.76527770548603</v>
      </c>
      <c r="I16" s="41">
        <f t="shared" ref="I16:K16" si="1">I18*I24</f>
        <v>903.16912808385814</v>
      </c>
      <c r="J16" s="41">
        <f t="shared" si="1"/>
        <v>1032.2932094536638</v>
      </c>
      <c r="K16" s="41">
        <f t="shared" si="1"/>
        <v>1202.8821799427233</v>
      </c>
      <c r="L16" s="41">
        <f>L18*L24</f>
        <v>1450.9450527308215</v>
      </c>
    </row>
    <row r="17" spans="2:12" ht="28.8" x14ac:dyDescent="0.3">
      <c r="B17" s="3" t="s">
        <v>14</v>
      </c>
      <c r="C17" s="9">
        <f>'Income statement'!C20</f>
        <v>47</v>
      </c>
      <c r="D17" s="9">
        <f>'Income statement'!D20</f>
        <v>-116</v>
      </c>
      <c r="E17" s="9">
        <f>'Income statement'!E20</f>
        <v>161</v>
      </c>
      <c r="F17" s="9">
        <f>'Income statement'!F20</f>
        <v>55</v>
      </c>
      <c r="G17" s="9">
        <f>'Income statement'!G20</f>
        <v>-144</v>
      </c>
      <c r="H17" s="41">
        <f>H18*H25</f>
        <v>5.9836008774746681</v>
      </c>
      <c r="I17" s="41">
        <f t="shared" ref="I17:K17" si="2">I18*I25</f>
        <v>6.8601698250161007</v>
      </c>
      <c r="J17" s="41">
        <f t="shared" si="2"/>
        <v>7.8409530461779928</v>
      </c>
      <c r="K17" s="41">
        <f t="shared" si="2"/>
        <v>9.1366896601081251</v>
      </c>
      <c r="L17" s="41">
        <f>L18*L25</f>
        <v>11.020892055531137</v>
      </c>
    </row>
    <row r="18" spans="2:12" x14ac:dyDescent="0.3">
      <c r="B18" s="1" t="s">
        <v>38</v>
      </c>
      <c r="C18" s="46">
        <f>'Income statement'!C21</f>
        <v>4270</v>
      </c>
      <c r="D18" s="46">
        <f>'Income statement'!D21</f>
        <v>5436</v>
      </c>
      <c r="E18" s="46">
        <f>'Income statement'!E21</f>
        <v>5351</v>
      </c>
      <c r="F18" s="46">
        <f>'Income statement'!F21</f>
        <v>4748</v>
      </c>
      <c r="G18" s="46">
        <f>'Income statement'!G21</f>
        <v>5388</v>
      </c>
      <c r="H18" s="46">
        <f>H12*H20</f>
        <v>6485.0134846896699</v>
      </c>
      <c r="I18" s="46">
        <f>I12*I20</f>
        <v>7435.0369841623733</v>
      </c>
      <c r="J18" s="46">
        <f>J12*J20</f>
        <v>8498.0076844201412</v>
      </c>
      <c r="K18" s="46">
        <f t="shared" ref="K18:L18" si="3">K12*K20</f>
        <v>9902.3241797892988</v>
      </c>
      <c r="L18" s="46">
        <f t="shared" si="3"/>
        <v>11944.418596247066</v>
      </c>
    </row>
    <row r="19" spans="2:12" x14ac:dyDescent="0.3">
      <c r="C19" s="9"/>
      <c r="D19" s="9"/>
      <c r="E19" s="9"/>
      <c r="F19" s="9"/>
      <c r="G19" s="9"/>
      <c r="H19" s="9"/>
      <c r="I19" s="9"/>
      <c r="J19" s="9"/>
      <c r="K19" s="9"/>
      <c r="L19" s="9"/>
    </row>
    <row r="20" spans="2:12" x14ac:dyDescent="0.3">
      <c r="B20" s="1" t="s">
        <v>213</v>
      </c>
      <c r="C20" s="38">
        <f>C18/C12</f>
        <v>0.53056660039761427</v>
      </c>
      <c r="D20" s="38">
        <f t="shared" ref="D20:G20" si="4">D18/D12</f>
        <v>0.57148864592094195</v>
      </c>
      <c r="E20" s="38">
        <f t="shared" si="4"/>
        <v>0.54803359278984021</v>
      </c>
      <c r="F20" s="38">
        <f t="shared" si="4"/>
        <v>0.49186781311509375</v>
      </c>
      <c r="G20" s="38">
        <f t="shared" si="4"/>
        <v>0.49746099159819041</v>
      </c>
      <c r="H20" s="50">
        <f>AVERAGE(C20:G20)</f>
        <v>0.52788352876433609</v>
      </c>
      <c r="I20" s="50">
        <f t="shared" ref="I20:L20" si="5">AVERAGE(D20:H20)</f>
        <v>0.52734691443768045</v>
      </c>
      <c r="J20" s="50">
        <f t="shared" si="5"/>
        <v>0.51851856814102815</v>
      </c>
      <c r="K20" s="50">
        <f t="shared" si="5"/>
        <v>0.51261556321126578</v>
      </c>
      <c r="L20" s="50">
        <f t="shared" si="5"/>
        <v>0.51676511323050023</v>
      </c>
    </row>
    <row r="21" spans="2:12" x14ac:dyDescent="0.3">
      <c r="C21" s="9"/>
      <c r="D21" s="9"/>
      <c r="E21" s="9"/>
      <c r="F21" s="9"/>
      <c r="G21" s="9"/>
      <c r="H21" s="9"/>
      <c r="I21" s="9"/>
      <c r="J21" s="9"/>
      <c r="K21" s="9"/>
      <c r="L21" s="9"/>
    </row>
    <row r="22" spans="2:12" x14ac:dyDescent="0.3">
      <c r="B22" s="1" t="s">
        <v>212</v>
      </c>
      <c r="C22" s="9"/>
      <c r="D22" s="9"/>
      <c r="E22" s="9"/>
      <c r="F22" s="9"/>
      <c r="G22" s="9"/>
      <c r="H22" s="9"/>
      <c r="I22" s="9"/>
      <c r="J22" s="9"/>
      <c r="K22" s="9"/>
      <c r="L22" s="9"/>
    </row>
    <row r="23" spans="2:12" x14ac:dyDescent="0.3">
      <c r="B23" t="s">
        <v>12</v>
      </c>
      <c r="C23" s="38">
        <f>C15/C18</f>
        <v>0.90960187353629973</v>
      </c>
      <c r="D23" s="38">
        <f t="shared" ref="D23:G23" si="6">D15/D18</f>
        <v>0.93101545253863138</v>
      </c>
      <c r="E23" s="38">
        <f t="shared" si="6"/>
        <v>0.86880956830498968</v>
      </c>
      <c r="F23" s="38">
        <f t="shared" si="6"/>
        <v>0.83003369839932606</v>
      </c>
      <c r="G23" s="38">
        <f t="shared" si="6"/>
        <v>0.84855233853006684</v>
      </c>
      <c r="H23" s="42">
        <f>AVERAGE(C23:G23)</f>
        <v>0.87760258626186283</v>
      </c>
      <c r="I23" s="42">
        <v>0.87760258626186283</v>
      </c>
      <c r="J23" s="42">
        <v>0.87760258626186283</v>
      </c>
      <c r="K23" s="42">
        <v>0.87760258626186283</v>
      </c>
      <c r="L23" s="42">
        <v>0.87760258626186283</v>
      </c>
    </row>
    <row r="24" spans="2:12" x14ac:dyDescent="0.3">
      <c r="B24" t="s">
        <v>13</v>
      </c>
      <c r="C24" s="38">
        <f>C16/C18</f>
        <v>7.9391100702576115E-2</v>
      </c>
      <c r="D24" s="38">
        <f t="shared" ref="D24:G24" si="7">D16/D18</f>
        <v>9.0323767476085351E-2</v>
      </c>
      <c r="E24" s="38">
        <f t="shared" si="7"/>
        <v>0.10110259764529994</v>
      </c>
      <c r="F24" s="38">
        <f t="shared" si="7"/>
        <v>0.15838247683235046</v>
      </c>
      <c r="G24" s="38">
        <f t="shared" si="7"/>
        <v>0.17817371937639198</v>
      </c>
      <c r="H24" s="42">
        <f>AVERAGE(C24:G24)</f>
        <v>0.12147473240654076</v>
      </c>
      <c r="I24" s="42">
        <v>0.12147473240654076</v>
      </c>
      <c r="J24" s="42">
        <v>0.12147473240654076</v>
      </c>
      <c r="K24" s="42">
        <v>0.12147473240654076</v>
      </c>
      <c r="L24" s="42">
        <v>0.12147473240654076</v>
      </c>
    </row>
    <row r="25" spans="2:12" ht="28.8" x14ac:dyDescent="0.3">
      <c r="B25" s="3" t="s">
        <v>14</v>
      </c>
      <c r="C25" s="38">
        <f>C17/C18</f>
        <v>1.1007025761124122E-2</v>
      </c>
      <c r="D25" s="38">
        <f t="shared" ref="D25:G25" si="8">D17/D18</f>
        <v>-2.1339220014716703E-2</v>
      </c>
      <c r="E25" s="38">
        <f t="shared" si="8"/>
        <v>3.0087834049710334E-2</v>
      </c>
      <c r="F25" s="38">
        <f t="shared" si="8"/>
        <v>1.1583824768323505E-2</v>
      </c>
      <c r="G25" s="38">
        <f t="shared" si="8"/>
        <v>-2.6726057906458798E-2</v>
      </c>
      <c r="H25" s="42">
        <f>AVERAGE(C25:G25)</f>
        <v>9.2268133159649143E-4</v>
      </c>
      <c r="I25" s="42">
        <v>9.2268133159649143E-4</v>
      </c>
      <c r="J25" s="42">
        <v>9.2268133159649143E-4</v>
      </c>
      <c r="K25" s="42">
        <v>9.2268133159649143E-4</v>
      </c>
      <c r="L25" s="42">
        <v>9.2268133159649143E-4</v>
      </c>
    </row>
    <row r="26" spans="2:12" x14ac:dyDescent="0.3">
      <c r="B26" s="1" t="s">
        <v>38</v>
      </c>
      <c r="C26" s="51">
        <f>SUM(C23:C25)</f>
        <v>1</v>
      </c>
      <c r="D26" s="51">
        <f t="shared" ref="D26:G26" si="9">SUM(D23:D25)</f>
        <v>1</v>
      </c>
      <c r="E26" s="51">
        <f t="shared" si="9"/>
        <v>1</v>
      </c>
      <c r="F26" s="51">
        <f t="shared" si="9"/>
        <v>1</v>
      </c>
      <c r="G26" s="51">
        <f t="shared" si="9"/>
        <v>1</v>
      </c>
      <c r="H26" s="51">
        <f t="shared" ref="H26" si="10">SUM(H23:H25)</f>
        <v>1</v>
      </c>
      <c r="I26" s="51">
        <f t="shared" ref="I26" si="11">SUM(I23:I25)</f>
        <v>1</v>
      </c>
      <c r="J26" s="51">
        <f t="shared" ref="J26" si="12">SUM(J23:J25)</f>
        <v>1</v>
      </c>
      <c r="K26" s="51">
        <f t="shared" ref="K26" si="13">SUM(K23:K25)</f>
        <v>1</v>
      </c>
      <c r="L26" s="51">
        <f t="shared" ref="L26" si="14">SUM(L23:L25)</f>
        <v>1</v>
      </c>
    </row>
    <row r="27" spans="2:12" x14ac:dyDescent="0.3">
      <c r="C27" s="9"/>
      <c r="D27" s="9"/>
      <c r="E27" s="9"/>
      <c r="F27" s="9"/>
      <c r="G27" s="9"/>
      <c r="H27" s="9"/>
      <c r="I27" s="9"/>
      <c r="J27" s="9"/>
      <c r="K27" s="9"/>
      <c r="L27" s="9"/>
    </row>
    <row r="28" spans="2:12" x14ac:dyDescent="0.3">
      <c r="B28" s="54" t="s">
        <v>216</v>
      </c>
      <c r="C28" s="55"/>
      <c r="D28" s="55"/>
      <c r="E28" s="55"/>
      <c r="F28" s="55"/>
      <c r="G28" s="55"/>
      <c r="H28" s="55"/>
      <c r="I28" s="55"/>
      <c r="J28" s="55"/>
      <c r="K28" s="55"/>
      <c r="L28" s="55"/>
    </row>
    <row r="29" spans="2:12" x14ac:dyDescent="0.3">
      <c r="B29" t="s">
        <v>214</v>
      </c>
      <c r="C29" s="9">
        <f>'Income statement'!C22</f>
        <v>570</v>
      </c>
      <c r="D29" s="9">
        <f>'Income statement'!D22</f>
        <v>586</v>
      </c>
      <c r="E29" s="9">
        <f>'Income statement'!E22</f>
        <v>653</v>
      </c>
      <c r="F29" s="9">
        <f>'Income statement'!F22</f>
        <v>743</v>
      </c>
      <c r="G29" s="9">
        <f>'Income statement'!G22</f>
        <v>831</v>
      </c>
      <c r="H29" s="41">
        <f>H12*H31</f>
        <v>867.32821410567851</v>
      </c>
      <c r="I29" s="41">
        <f t="shared" ref="I29:L29" si="15">I12*I31</f>
        <v>995.3995173090301</v>
      </c>
      <c r="J29" s="41">
        <f t="shared" si="15"/>
        <v>1157.0803233154675</v>
      </c>
      <c r="K29" s="41">
        <f t="shared" si="15"/>
        <v>1363.8168583832553</v>
      </c>
      <c r="L29" s="41">
        <f t="shared" si="15"/>
        <v>1631.8586206503944</v>
      </c>
    </row>
    <row r="30" spans="2:12" x14ac:dyDescent="0.3">
      <c r="C30" s="9"/>
      <c r="D30" s="9"/>
      <c r="E30" s="9"/>
      <c r="F30" s="9"/>
      <c r="G30" s="9"/>
      <c r="H30" s="9"/>
      <c r="I30" s="9"/>
      <c r="J30" s="9"/>
      <c r="K30" s="9"/>
      <c r="L30" s="9"/>
    </row>
    <row r="31" spans="2:12" x14ac:dyDescent="0.3">
      <c r="B31" s="1" t="s">
        <v>215</v>
      </c>
      <c r="C31" s="38">
        <f>C29/C12</f>
        <v>7.0825049701789267E-2</v>
      </c>
      <c r="D31" s="38">
        <f t="shared" ref="D31:G31" si="16">D29/D12</f>
        <v>6.1606391925988227E-2</v>
      </c>
      <c r="E31" s="38">
        <f t="shared" si="16"/>
        <v>6.6878328553871366E-2</v>
      </c>
      <c r="F31" s="38">
        <f t="shared" si="16"/>
        <v>7.6970889878794163E-2</v>
      </c>
      <c r="G31" s="38">
        <f t="shared" si="16"/>
        <v>7.6724217523774355E-2</v>
      </c>
      <c r="H31" s="50">
        <f>AVERAGE(C31:G31)</f>
        <v>7.0600975516843481E-2</v>
      </c>
      <c r="I31" s="50">
        <v>7.0600975516843481E-2</v>
      </c>
      <c r="J31" s="50">
        <v>7.0600975516843481E-2</v>
      </c>
      <c r="K31" s="50">
        <v>7.0600975516843481E-2</v>
      </c>
      <c r="L31" s="50">
        <v>7.0600975516843481E-2</v>
      </c>
    </row>
    <row r="32" spans="2:12" x14ac:dyDescent="0.3">
      <c r="C32" s="9"/>
      <c r="D32" s="9"/>
      <c r="E32" s="9"/>
      <c r="F32" s="9"/>
      <c r="G32" s="9"/>
      <c r="H32" s="9"/>
      <c r="I32" s="9"/>
      <c r="J32" s="9"/>
      <c r="K32" s="9"/>
      <c r="L32" s="9"/>
    </row>
    <row r="33" spans="2:12" x14ac:dyDescent="0.3">
      <c r="B33" s="54" t="s">
        <v>217</v>
      </c>
      <c r="C33" s="55"/>
      <c r="D33" s="55"/>
      <c r="E33" s="55"/>
      <c r="F33" s="55"/>
      <c r="G33" s="55"/>
      <c r="H33" s="55"/>
      <c r="I33" s="55"/>
      <c r="J33" s="55"/>
      <c r="K33" s="55"/>
      <c r="L33" s="55"/>
    </row>
    <row r="34" spans="2:12" x14ac:dyDescent="0.3">
      <c r="B34" t="s">
        <v>23</v>
      </c>
      <c r="C34" s="9">
        <f>'Income statement'!C25</f>
        <v>1617</v>
      </c>
      <c r="D34" s="9">
        <f>'Income statement'!D25</f>
        <v>1809</v>
      </c>
      <c r="E34" s="9">
        <f>'Income statement'!E25</f>
        <v>1950</v>
      </c>
      <c r="F34" s="9">
        <f>'Income statement'!F25</f>
        <v>2136</v>
      </c>
      <c r="G34" s="9">
        <f>'Income statement'!G25</f>
        <v>2473</v>
      </c>
      <c r="H34" s="41">
        <f>H12*H36</f>
        <v>2556.2929661298358</v>
      </c>
      <c r="I34" s="41">
        <f t="shared" ref="I34:L34" si="17">I12*I36</f>
        <v>2933.7599575379109</v>
      </c>
      <c r="J34" s="41">
        <f t="shared" si="17"/>
        <v>3410.2848767446785</v>
      </c>
      <c r="K34" s="41">
        <f t="shared" si="17"/>
        <v>4019.6034044265739</v>
      </c>
      <c r="L34" s="41">
        <f t="shared" si="17"/>
        <v>4809.6079959629524</v>
      </c>
    </row>
    <row r="35" spans="2:12" x14ac:dyDescent="0.3">
      <c r="C35" s="9"/>
      <c r="D35" s="9"/>
      <c r="E35" s="9"/>
      <c r="F35" s="9"/>
      <c r="G35" s="9"/>
      <c r="H35" s="9"/>
      <c r="I35" s="9"/>
      <c r="J35" s="9"/>
      <c r="K35" s="9"/>
      <c r="L35" s="9"/>
    </row>
    <row r="36" spans="2:12" x14ac:dyDescent="0.3">
      <c r="B36" s="1" t="s">
        <v>218</v>
      </c>
      <c r="C36" s="38">
        <f>C34/C12</f>
        <v>0.20091948310139165</v>
      </c>
      <c r="D36" s="38">
        <f t="shared" ref="D36:G36" si="18">D34/D12</f>
        <v>0.19018082422203533</v>
      </c>
      <c r="E36" s="38">
        <f t="shared" si="18"/>
        <v>0.1997132322818517</v>
      </c>
      <c r="F36" s="38">
        <f t="shared" si="18"/>
        <v>0.22127835905935977</v>
      </c>
      <c r="G36" s="38">
        <f t="shared" si="18"/>
        <v>0.2283261010063706</v>
      </c>
      <c r="H36" s="50">
        <f>AVERAGE(C36:G36)</f>
        <v>0.20808359993420181</v>
      </c>
      <c r="I36" s="50">
        <v>0.20808359993420181</v>
      </c>
      <c r="J36" s="50">
        <v>0.20808359993420181</v>
      </c>
      <c r="K36" s="50">
        <v>0.20808359993420181</v>
      </c>
      <c r="L36" s="50">
        <v>0.20808359993420181</v>
      </c>
    </row>
    <row r="37" spans="2:12" x14ac:dyDescent="0.3">
      <c r="C37" s="9"/>
      <c r="D37" s="9"/>
      <c r="E37" s="9"/>
      <c r="F37" s="9"/>
      <c r="G37" s="9"/>
      <c r="H37" s="9"/>
      <c r="I37" s="9"/>
      <c r="J37" s="9"/>
      <c r="K37" s="9"/>
      <c r="L37" s="9"/>
    </row>
    <row r="38" spans="2:12" x14ac:dyDescent="0.3">
      <c r="B38" s="54" t="s">
        <v>219</v>
      </c>
      <c r="C38" s="55"/>
      <c r="D38" s="55"/>
      <c r="E38" s="55"/>
      <c r="F38" s="55"/>
      <c r="G38" s="55"/>
      <c r="H38" s="55"/>
      <c r="I38" s="55"/>
      <c r="J38" s="55"/>
      <c r="K38" s="55"/>
      <c r="L38" s="55"/>
    </row>
    <row r="39" spans="2:12" x14ac:dyDescent="0.3">
      <c r="B39" t="s">
        <v>219</v>
      </c>
      <c r="C39">
        <f>'Income statement'!C35</f>
        <v>324</v>
      </c>
      <c r="D39">
        <f>'Income statement'!D35</f>
        <v>346</v>
      </c>
      <c r="E39">
        <f>'Income statement'!E35</f>
        <v>421</v>
      </c>
      <c r="F39">
        <f>'Income statement'!F35</f>
        <v>435</v>
      </c>
      <c r="G39">
        <f>'Income statement'!G35</f>
        <v>458</v>
      </c>
      <c r="H39" s="53">
        <f>'Income statement'!H31*'Cost Schedule'!H41</f>
        <v>614.75197766671965</v>
      </c>
      <c r="I39" s="53">
        <f>'Income statement'!I31*'Cost Schedule'!I41</f>
        <v>730.73372530519384</v>
      </c>
      <c r="J39" s="53">
        <f>'Income statement'!J31*'Cost Schedule'!J41</f>
        <v>916.74925033727993</v>
      </c>
      <c r="K39" s="53">
        <f>'Income statement'!K31*'Cost Schedule'!K41</f>
        <v>1112.799502869249</v>
      </c>
      <c r="L39" s="53">
        <f>'Income statement'!L31*'Cost Schedule'!L41</f>
        <v>1320.3331213629228</v>
      </c>
    </row>
    <row r="41" spans="2:12" x14ac:dyDescent="0.3">
      <c r="B41" s="1" t="s">
        <v>222</v>
      </c>
      <c r="C41" s="38">
        <f>C39/'Income statement'!C36</f>
        <v>0.27022518765638032</v>
      </c>
      <c r="D41" s="38">
        <f>D39/'Income statement'!D36</f>
        <v>0.27569721115537849</v>
      </c>
      <c r="E41" s="38">
        <f>E39/'Income statement'!E36</f>
        <v>0.31845688350983359</v>
      </c>
      <c r="F41" s="38">
        <f>F39/'Income statement'!F36</f>
        <v>0.28961384820239683</v>
      </c>
      <c r="G41" s="38">
        <f>G39/'Income statement'!G36</f>
        <v>0.31586206896551722</v>
      </c>
      <c r="H41" s="52">
        <f>AVERAGE(C41:G41)</f>
        <v>0.2939710398979013</v>
      </c>
      <c r="I41" s="52">
        <f t="shared" ref="I41:L41" si="19">AVERAGE(D41:H41)</f>
        <v>0.29872021034620549</v>
      </c>
      <c r="J41" s="52">
        <f t="shared" si="19"/>
        <v>0.30332481018437085</v>
      </c>
      <c r="K41" s="52">
        <f t="shared" si="19"/>
        <v>0.30029839551927834</v>
      </c>
      <c r="L41" s="52">
        <f t="shared" si="19"/>
        <v>0.30243530498265464</v>
      </c>
    </row>
    <row r="42" spans="2:12" x14ac:dyDescent="0.3">
      <c r="C42" s="9"/>
      <c r="D42" s="9"/>
      <c r="E42" s="9"/>
      <c r="F42" s="9"/>
      <c r="G42" s="9"/>
      <c r="H42" s="9"/>
      <c r="I42" s="9"/>
      <c r="J42" s="9"/>
      <c r="K42" s="9"/>
      <c r="L42" s="9"/>
    </row>
    <row r="43" spans="2:12" x14ac:dyDescent="0.3">
      <c r="C43" s="9"/>
      <c r="D43" s="9"/>
      <c r="E43" s="9"/>
      <c r="F43" s="9"/>
      <c r="G43" s="9"/>
      <c r="H43" s="9"/>
      <c r="I43" s="9"/>
      <c r="J43" s="9"/>
      <c r="K43" s="9"/>
      <c r="L43" s="9"/>
    </row>
    <row r="44" spans="2:12" x14ac:dyDescent="0.3">
      <c r="B44" t="s">
        <v>220</v>
      </c>
      <c r="C44" s="9">
        <f>'Income statement'!C33</f>
        <v>335</v>
      </c>
      <c r="D44" s="9">
        <f>'Income statement'!D33</f>
        <v>343</v>
      </c>
      <c r="E44" s="9">
        <f>'Income statement'!E33</f>
        <v>377</v>
      </c>
      <c r="F44" s="9">
        <f>'Income statement'!F33</f>
        <v>353</v>
      </c>
      <c r="G44" s="9">
        <f>'Income statement'!G33</f>
        <v>480</v>
      </c>
      <c r="H44" s="9">
        <f>H46*H48</f>
        <v>587.73931105133966</v>
      </c>
      <c r="I44" s="9">
        <f t="shared" ref="I44:L44" si="20">I46*I48</f>
        <v>698.6247330231306</v>
      </c>
      <c r="J44" s="9">
        <f t="shared" si="20"/>
        <v>876.46659526839971</v>
      </c>
      <c r="K44" s="9">
        <f t="shared" si="20"/>
        <v>1063.9022515015372</v>
      </c>
      <c r="L44" s="9">
        <f t="shared" si="20"/>
        <v>1262.3166859152659</v>
      </c>
    </row>
    <row r="45" spans="2:12" x14ac:dyDescent="0.3">
      <c r="B45" t="s">
        <v>221</v>
      </c>
      <c r="C45" s="9">
        <f>'Income statement'!C34</f>
        <v>-11</v>
      </c>
      <c r="D45" s="9">
        <f>'Income statement'!D34</f>
        <v>3</v>
      </c>
      <c r="E45" s="9">
        <f>'Income statement'!E34</f>
        <v>44</v>
      </c>
      <c r="F45" s="9">
        <f>'Income statement'!F34</f>
        <v>82</v>
      </c>
      <c r="G45" s="9">
        <f>'Income statement'!G34</f>
        <v>-22</v>
      </c>
      <c r="H45" s="9">
        <f>H46*H49</f>
        <v>27.012666615379931</v>
      </c>
      <c r="I45" s="9">
        <f t="shared" ref="I45:L45" si="21">I46*I49</f>
        <v>32.108992282063248</v>
      </c>
      <c r="J45" s="9">
        <f t="shared" si="21"/>
        <v>40.28265506888021</v>
      </c>
      <c r="K45" s="9">
        <f t="shared" si="21"/>
        <v>48.897251367711803</v>
      </c>
      <c r="L45" s="9">
        <f t="shared" si="21"/>
        <v>58.016435447656811</v>
      </c>
    </row>
    <row r="46" spans="2:12" x14ac:dyDescent="0.3">
      <c r="B46" s="1" t="s">
        <v>34</v>
      </c>
      <c r="C46" s="46">
        <f>SUM(C44:C45)</f>
        <v>324</v>
      </c>
      <c r="D46" s="46">
        <f t="shared" ref="D46:G46" si="22">SUM(D44:D45)</f>
        <v>346</v>
      </c>
      <c r="E46" s="46">
        <f t="shared" si="22"/>
        <v>421</v>
      </c>
      <c r="F46" s="46">
        <f t="shared" si="22"/>
        <v>435</v>
      </c>
      <c r="G46" s="46">
        <f t="shared" si="22"/>
        <v>458</v>
      </c>
      <c r="H46" s="46">
        <f>H39</f>
        <v>614.75197766671965</v>
      </c>
      <c r="I46" s="46">
        <f t="shared" ref="I46:L46" si="23">I39</f>
        <v>730.73372530519384</v>
      </c>
      <c r="J46" s="46">
        <f t="shared" si="23"/>
        <v>916.74925033727993</v>
      </c>
      <c r="K46" s="46">
        <f t="shared" si="23"/>
        <v>1112.799502869249</v>
      </c>
      <c r="L46" s="46">
        <f t="shared" si="23"/>
        <v>1320.3331213629228</v>
      </c>
    </row>
    <row r="47" spans="2:12" x14ac:dyDescent="0.3">
      <c r="C47" s="9"/>
      <c r="D47" s="9"/>
      <c r="E47" s="9"/>
      <c r="F47" s="9"/>
      <c r="G47" s="9"/>
      <c r="H47" s="9"/>
      <c r="I47" s="9"/>
      <c r="J47" s="9"/>
      <c r="K47" s="9"/>
      <c r="L47" s="9"/>
    </row>
    <row r="48" spans="2:12" x14ac:dyDescent="0.3">
      <c r="B48" t="s">
        <v>220</v>
      </c>
      <c r="C48" s="38">
        <f>C44/C46</f>
        <v>1.0339506172839505</v>
      </c>
      <c r="D48" s="38">
        <f t="shared" ref="D48:G48" si="24">D44/D46</f>
        <v>0.99132947976878616</v>
      </c>
      <c r="E48" s="38">
        <f t="shared" si="24"/>
        <v>0.89548693586698336</v>
      </c>
      <c r="F48" s="38">
        <f t="shared" si="24"/>
        <v>0.81149425287356325</v>
      </c>
      <c r="G48" s="38">
        <f t="shared" si="24"/>
        <v>1.0480349344978166</v>
      </c>
      <c r="H48" s="38">
        <f>AVERAGE(C48:G48)</f>
        <v>0.95605924405821996</v>
      </c>
      <c r="I48" s="38">
        <v>0.95605924405821996</v>
      </c>
      <c r="J48" s="38">
        <v>0.95605924405821996</v>
      </c>
      <c r="K48" s="38">
        <v>0.95605924405821996</v>
      </c>
      <c r="L48" s="38">
        <v>0.95605924405821996</v>
      </c>
    </row>
    <row r="49" spans="2:12" x14ac:dyDescent="0.3">
      <c r="B49" t="s">
        <v>221</v>
      </c>
      <c r="C49" s="38">
        <f>C45/C46</f>
        <v>-3.3950617283950615E-2</v>
      </c>
      <c r="D49" s="38">
        <f t="shared" ref="D49:G49" si="25">D45/D46</f>
        <v>8.670520231213872E-3</v>
      </c>
      <c r="E49" s="38">
        <f t="shared" si="25"/>
        <v>0.10451306413301663</v>
      </c>
      <c r="F49" s="38">
        <f t="shared" si="25"/>
        <v>0.18850574712643678</v>
      </c>
      <c r="G49" s="38">
        <f t="shared" si="25"/>
        <v>-4.8034934497816595E-2</v>
      </c>
      <c r="H49" s="38">
        <f>AVERAGE(C49:G49)</f>
        <v>4.394075594178002E-2</v>
      </c>
      <c r="I49" s="38">
        <v>4.394075594178002E-2</v>
      </c>
      <c r="J49" s="38">
        <v>4.394075594178002E-2</v>
      </c>
      <c r="K49" s="38">
        <v>4.394075594178002E-2</v>
      </c>
      <c r="L49" s="38">
        <v>4.394075594178002E-2</v>
      </c>
    </row>
    <row r="50" spans="2:12" x14ac:dyDescent="0.3">
      <c r="B50" s="1" t="s">
        <v>34</v>
      </c>
      <c r="C50" s="51">
        <f>SUM(C48:C49)</f>
        <v>0.99999999999999989</v>
      </c>
      <c r="D50" s="51">
        <f t="shared" ref="D50:H50" si="26">SUM(D48:D49)</f>
        <v>1</v>
      </c>
      <c r="E50" s="51">
        <f t="shared" si="26"/>
        <v>1</v>
      </c>
      <c r="F50" s="51">
        <f t="shared" si="26"/>
        <v>1</v>
      </c>
      <c r="G50" s="51">
        <f t="shared" si="26"/>
        <v>1</v>
      </c>
      <c r="H50" s="51">
        <f t="shared" si="26"/>
        <v>1</v>
      </c>
      <c r="I50" s="51">
        <v>1</v>
      </c>
      <c r="J50" s="51">
        <v>1</v>
      </c>
      <c r="K50" s="51">
        <v>1</v>
      </c>
      <c r="L50" s="51">
        <v>1</v>
      </c>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EB39-50DB-4733-8202-71EE32CEECF0}">
  <dimension ref="B2:L73"/>
  <sheetViews>
    <sheetView topLeftCell="B34" zoomScale="89" zoomScaleNormal="70" workbookViewId="0">
      <selection activeCell="E45" sqref="E45"/>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4" spans="2:12" x14ac:dyDescent="0.3">
      <c r="B14" s="1" t="s">
        <v>223</v>
      </c>
      <c r="C14" s="7"/>
      <c r="D14" s="12">
        <f>C19</f>
        <v>1023</v>
      </c>
      <c r="E14" s="12">
        <f t="shared" ref="E14:L14" si="0">D19</f>
        <v>1145</v>
      </c>
      <c r="F14" s="12">
        <f t="shared" si="0"/>
        <v>1451</v>
      </c>
      <c r="G14" s="12">
        <f t="shared" si="0"/>
        <v>1905</v>
      </c>
      <c r="H14" s="12">
        <f t="shared" si="0"/>
        <v>1941</v>
      </c>
      <c r="I14" s="12">
        <f t="shared" si="0"/>
        <v>1891.2744051386451</v>
      </c>
      <c r="J14" s="12">
        <f t="shared" si="0"/>
        <v>1892.3538986125245</v>
      </c>
      <c r="K14" s="12">
        <f t="shared" si="0"/>
        <v>1972.8711397010759</v>
      </c>
      <c r="L14" s="12">
        <f t="shared" si="0"/>
        <v>2139.8059601455443</v>
      </c>
    </row>
    <row r="15" spans="2:12" x14ac:dyDescent="0.3">
      <c r="B15" t="s">
        <v>224</v>
      </c>
      <c r="C15" s="7">
        <f>-('Cashflow statement'!C40)</f>
        <v>142</v>
      </c>
      <c r="D15" s="7">
        <f>-('Cashflow statement'!D40)</f>
        <v>132</v>
      </c>
      <c r="E15" s="7">
        <f>-('Cashflow statement'!E40)</f>
        <v>182</v>
      </c>
      <c r="F15" s="7">
        <f>-('Cashflow statement'!F40)</f>
        <v>153</v>
      </c>
      <c r="G15" s="7">
        <f>-('Cashflow statement'!G40)</f>
        <v>161</v>
      </c>
      <c r="H15" s="7">
        <f>H23</f>
        <v>204.49502840439726</v>
      </c>
      <c r="I15" s="7">
        <f t="shared" ref="I15:L15" si="1">I23</f>
        <v>260.69334331575629</v>
      </c>
      <c r="J15" s="7">
        <f t="shared" si="1"/>
        <v>347.23557115360325</v>
      </c>
      <c r="K15" s="7">
        <f t="shared" si="1"/>
        <v>456.84558122411892</v>
      </c>
      <c r="L15" s="7">
        <f t="shared" si="1"/>
        <v>580.41875609117085</v>
      </c>
    </row>
    <row r="16" spans="2:12" x14ac:dyDescent="0.3">
      <c r="B16" t="s">
        <v>203</v>
      </c>
      <c r="C16" s="7">
        <f>-('Income statement'!C24)</f>
        <v>-139</v>
      </c>
      <c r="D16" s="7">
        <f>-('Income statement'!D24)</f>
        <v>-139</v>
      </c>
      <c r="E16" s="7">
        <f>-('Income statement'!E24)</f>
        <v>-155</v>
      </c>
      <c r="F16" s="7">
        <f>-('Income statement'!F24)</f>
        <v>-158</v>
      </c>
      <c r="G16" s="7">
        <f>-('Income statement'!G24)</f>
        <v>-178</v>
      </c>
      <c r="H16" s="7">
        <f>H34</f>
        <v>-226.24873097698548</v>
      </c>
      <c r="I16" s="7">
        <f t="shared" ref="I16:L16" si="2">I34</f>
        <v>-226.93129825301961</v>
      </c>
      <c r="J16" s="7">
        <f t="shared" si="2"/>
        <v>-236.17126524914008</v>
      </c>
      <c r="K16" s="7">
        <f t="shared" si="2"/>
        <v>-256.22074041892057</v>
      </c>
      <c r="L16" s="7">
        <f t="shared" si="2"/>
        <v>-286.85565889122336</v>
      </c>
    </row>
    <row r="17" spans="2:12" x14ac:dyDescent="0.3">
      <c r="B17" t="s">
        <v>202</v>
      </c>
      <c r="C17" s="7">
        <f>-('Cashflow statement'!C42)</f>
        <v>-5</v>
      </c>
      <c r="D17" s="7">
        <f>-('Cashflow statement'!D42)</f>
        <v>-3</v>
      </c>
      <c r="E17" s="7">
        <f>-('Cashflow statement'!E42)</f>
        <v>-25</v>
      </c>
      <c r="F17" s="7">
        <f>-('Cashflow statement'!F42)</f>
        <v>-18</v>
      </c>
      <c r="G17" s="7">
        <f>-('Cashflow statement'!G42)</f>
        <v>-39</v>
      </c>
      <c r="H17" s="7">
        <f>H29</f>
        <v>-27.971892288766547</v>
      </c>
      <c r="I17" s="7">
        <f t="shared" ref="I17:L17" si="3">I29</f>
        <v>-32.682551588857258</v>
      </c>
      <c r="J17" s="7">
        <f t="shared" si="3"/>
        <v>-30.547064815911877</v>
      </c>
      <c r="K17" s="7">
        <f t="shared" si="3"/>
        <v>-33.690020360729534</v>
      </c>
      <c r="L17" s="7">
        <f t="shared" si="3"/>
        <v>-34.724121025682258</v>
      </c>
    </row>
    <row r="18" spans="2:12" x14ac:dyDescent="0.3">
      <c r="B18" t="s">
        <v>225</v>
      </c>
      <c r="C18" s="7">
        <f>C19-SUM(C14:C17)</f>
        <v>1025</v>
      </c>
      <c r="D18" s="7">
        <f t="shared" ref="D18:G18" si="4">D19-SUM(D14:D17)</f>
        <v>132</v>
      </c>
      <c r="E18" s="7">
        <f t="shared" si="4"/>
        <v>304</v>
      </c>
      <c r="F18" s="7">
        <f t="shared" si="4"/>
        <v>477</v>
      </c>
      <c r="G18" s="7">
        <f t="shared" si="4"/>
        <v>92</v>
      </c>
      <c r="H18" s="7"/>
      <c r="I18" s="7"/>
      <c r="J18" s="7"/>
      <c r="K18" s="7"/>
      <c r="L18" s="7"/>
    </row>
    <row r="19" spans="2:12" x14ac:dyDescent="0.3">
      <c r="B19" s="1" t="s">
        <v>226</v>
      </c>
      <c r="C19" s="13">
        <f>SUM('Balance Sheet'!C16:C21)-'Balance Sheet'!C20</f>
        <v>1023</v>
      </c>
      <c r="D19" s="13">
        <f>SUM('Balance Sheet'!D16:D21)-'Balance Sheet'!D20</f>
        <v>1145</v>
      </c>
      <c r="E19" s="13">
        <f>SUM('Balance Sheet'!E16:E21)-'Balance Sheet'!E20</f>
        <v>1451</v>
      </c>
      <c r="F19" s="13">
        <f>SUM('Balance Sheet'!F16:F21)-'Balance Sheet'!F20</f>
        <v>1905</v>
      </c>
      <c r="G19" s="13">
        <f>SUM('Balance Sheet'!G16:G21)-'Balance Sheet'!G20</f>
        <v>1941</v>
      </c>
      <c r="H19" s="13">
        <f>SUM(H14:H18)</f>
        <v>1891.2744051386451</v>
      </c>
      <c r="I19" s="13">
        <f>SUM(I14:I18)</f>
        <v>1892.3538986125245</v>
      </c>
      <c r="J19" s="13">
        <f>SUM(J14:J18)</f>
        <v>1972.8711397010759</v>
      </c>
      <c r="K19" s="13">
        <f>SUM(K14:K18)</f>
        <v>2139.8059601455443</v>
      </c>
      <c r="L19" s="13">
        <f>SUM(L14:L18)</f>
        <v>2398.6449363198099</v>
      </c>
    </row>
    <row r="20" spans="2:12" x14ac:dyDescent="0.3">
      <c r="C20" s="7"/>
      <c r="D20" s="7"/>
      <c r="E20" s="7"/>
      <c r="F20" s="7"/>
      <c r="G20" s="7"/>
      <c r="H20" s="7"/>
      <c r="I20" s="7"/>
      <c r="J20" s="7"/>
      <c r="K20" s="7"/>
      <c r="L20" s="7"/>
    </row>
    <row r="21" spans="2:12" x14ac:dyDescent="0.3">
      <c r="B21" s="54" t="s">
        <v>227</v>
      </c>
      <c r="C21" s="55"/>
      <c r="D21" s="55"/>
      <c r="E21" s="55"/>
      <c r="F21" s="55"/>
      <c r="G21" s="55"/>
      <c r="H21" s="55"/>
      <c r="I21" s="55"/>
      <c r="J21" s="55"/>
      <c r="K21" s="55"/>
      <c r="L21" s="55"/>
    </row>
    <row r="22" spans="2:12" x14ac:dyDescent="0.3">
      <c r="C22" s="7"/>
      <c r="D22" s="7"/>
      <c r="E22" s="7"/>
      <c r="F22" s="7"/>
      <c r="G22" s="7"/>
      <c r="H22" s="7"/>
      <c r="I22" s="7"/>
      <c r="J22" s="7"/>
      <c r="K22" s="7"/>
      <c r="L22" s="7"/>
    </row>
    <row r="23" spans="2:12" x14ac:dyDescent="0.3">
      <c r="B23" s="2" t="s">
        <v>228</v>
      </c>
      <c r="C23" s="7">
        <f>-('Cashflow statement'!C40)</f>
        <v>142</v>
      </c>
      <c r="D23" s="7">
        <f>-('Cashflow statement'!D40)</f>
        <v>132</v>
      </c>
      <c r="E23" s="7">
        <f>-('Cashflow statement'!E40)</f>
        <v>182</v>
      </c>
      <c r="F23" s="7">
        <f>-('Cashflow statement'!F40)</f>
        <v>153</v>
      </c>
      <c r="G23" s="7">
        <f>-('Cashflow statement'!G40)</f>
        <v>161</v>
      </c>
      <c r="H23" s="12">
        <f>('Income statement'!H14-'Income statement'!G14)/'Asset Schedule'!H25</f>
        <v>204.49502840439726</v>
      </c>
      <c r="I23" s="12">
        <f>('Income statement'!I14-'Income statement'!H14)/'Asset Schedule'!I25</f>
        <v>260.69334331575629</v>
      </c>
      <c r="J23" s="12">
        <f>('Income statement'!J14-'Income statement'!I14)/'Asset Schedule'!J25</f>
        <v>347.23557115360325</v>
      </c>
      <c r="K23" s="12">
        <f>('Income statement'!K14-'Income statement'!J14)/'Asset Schedule'!K25</f>
        <v>456.84558122411892</v>
      </c>
      <c r="L23" s="12">
        <f>('Income statement'!L14-'Income statement'!K14)/'Asset Schedule'!L25</f>
        <v>580.41875609117085</v>
      </c>
    </row>
    <row r="24" spans="2:12" x14ac:dyDescent="0.3">
      <c r="B24" t="s">
        <v>229</v>
      </c>
      <c r="C24" s="7">
        <f>AVERAGE(C14,C19)</f>
        <v>1023</v>
      </c>
      <c r="D24" s="7">
        <f t="shared" ref="D24:G24" si="5">AVERAGE(D14,D19)</f>
        <v>1084</v>
      </c>
      <c r="E24" s="7">
        <f t="shared" si="5"/>
        <v>1298</v>
      </c>
      <c r="F24" s="7">
        <f t="shared" si="5"/>
        <v>1678</v>
      </c>
      <c r="G24" s="7">
        <f t="shared" si="5"/>
        <v>1923</v>
      </c>
      <c r="H24" s="7"/>
      <c r="I24" s="7"/>
      <c r="J24" s="7"/>
      <c r="K24" s="7"/>
      <c r="L24" s="7"/>
    </row>
    <row r="25" spans="2:12" x14ac:dyDescent="0.3">
      <c r="B25" t="s">
        <v>230</v>
      </c>
      <c r="C25" s="7">
        <f>'Income statement'!C14/'Asset Schedule'!C24</f>
        <v>7.8670576735092865</v>
      </c>
      <c r="D25" s="7">
        <f>'Income statement'!D14/'Asset Schedule'!D24</f>
        <v>8.7749077490774905</v>
      </c>
      <c r="E25" s="7">
        <f>'Income statement'!E14/'Asset Schedule'!E24</f>
        <v>7.5223420647149464</v>
      </c>
      <c r="F25" s="7">
        <f>'Income statement'!F14/'Asset Schedule'!F24</f>
        <v>5.7526817640047678</v>
      </c>
      <c r="G25" s="7">
        <f>'Income statement'!G14/'Asset Schedule'!G24</f>
        <v>5.6323452938117526</v>
      </c>
      <c r="H25" s="56">
        <f>AVERAGE(C25:G25)</f>
        <v>7.1098669090236495</v>
      </c>
      <c r="I25" s="56">
        <f t="shared" ref="I25:L25" si="6">AVERAGE(D25:H25)</f>
        <v>6.958428756126521</v>
      </c>
      <c r="J25" s="56">
        <f t="shared" si="6"/>
        <v>6.5951329575363271</v>
      </c>
      <c r="K25" s="56">
        <f t="shared" si="6"/>
        <v>6.4096911361006033</v>
      </c>
      <c r="L25" s="56">
        <f t="shared" si="6"/>
        <v>6.5410930105197709</v>
      </c>
    </row>
    <row r="26" spans="2:12" x14ac:dyDescent="0.3">
      <c r="C26" s="7"/>
      <c r="D26" s="7"/>
      <c r="E26" s="7"/>
      <c r="F26" s="7"/>
      <c r="G26" s="7"/>
      <c r="H26" s="7"/>
      <c r="I26" s="7"/>
      <c r="J26" s="7"/>
      <c r="K26" s="7"/>
      <c r="L26" s="7"/>
    </row>
    <row r="27" spans="2:12" x14ac:dyDescent="0.3">
      <c r="B27" s="54" t="s">
        <v>231</v>
      </c>
      <c r="C27" s="55"/>
      <c r="D27" s="55"/>
      <c r="E27" s="55"/>
      <c r="F27" s="55"/>
      <c r="G27" s="55"/>
      <c r="H27" s="55"/>
      <c r="I27" s="55"/>
      <c r="J27" s="55"/>
      <c r="K27" s="55"/>
      <c r="L27" s="55"/>
    </row>
    <row r="28" spans="2:12" x14ac:dyDescent="0.3">
      <c r="C28" s="7"/>
      <c r="D28" s="7"/>
      <c r="E28" s="7"/>
      <c r="F28" s="7"/>
      <c r="G28" s="7"/>
      <c r="H28" s="7"/>
      <c r="I28" s="7"/>
      <c r="J28" s="7"/>
      <c r="K28" s="7"/>
      <c r="L28" s="7"/>
    </row>
    <row r="29" spans="2:12" x14ac:dyDescent="0.3">
      <c r="B29" s="2" t="s">
        <v>232</v>
      </c>
      <c r="C29" s="7">
        <f>C17</f>
        <v>-5</v>
      </c>
      <c r="D29" s="7">
        <f t="shared" ref="D29:G29" si="7">D17</f>
        <v>-3</v>
      </c>
      <c r="E29" s="7">
        <f t="shared" si="7"/>
        <v>-25</v>
      </c>
      <c r="F29" s="7">
        <f t="shared" si="7"/>
        <v>-18</v>
      </c>
      <c r="G29" s="7">
        <f t="shared" si="7"/>
        <v>-39</v>
      </c>
      <c r="H29" s="7">
        <f>H14*H30</f>
        <v>-27.971892288766547</v>
      </c>
      <c r="I29" s="7">
        <f>I14*I30</f>
        <v>-32.682551588857258</v>
      </c>
      <c r="J29" s="7">
        <f t="shared" ref="J29:L29" si="8">J14*J30</f>
        <v>-30.547064815911877</v>
      </c>
      <c r="K29" s="7">
        <f t="shared" si="8"/>
        <v>-33.690020360729534</v>
      </c>
      <c r="L29" s="7">
        <f t="shared" si="8"/>
        <v>-34.724121025682258</v>
      </c>
    </row>
    <row r="30" spans="2:12" x14ac:dyDescent="0.3">
      <c r="C30" s="7"/>
      <c r="D30" s="38">
        <f t="shared" ref="D30:G30" si="9">D29/D14</f>
        <v>-2.9325513196480938E-3</v>
      </c>
      <c r="E30" s="38">
        <f t="shared" si="9"/>
        <v>-2.1834061135371178E-2</v>
      </c>
      <c r="F30" s="38">
        <f t="shared" si="9"/>
        <v>-1.2405237767057202E-2</v>
      </c>
      <c r="G30" s="38">
        <f t="shared" si="9"/>
        <v>-2.0472440944881889E-2</v>
      </c>
      <c r="H30" s="49">
        <f>AVERAGE(D30:G30)</f>
        <v>-1.4411072791739591E-2</v>
      </c>
      <c r="I30" s="49">
        <f t="shared" ref="I30:L30" si="10">AVERAGE(E30:H30)</f>
        <v>-1.7280703159762465E-2</v>
      </c>
      <c r="J30" s="49">
        <f t="shared" si="10"/>
        <v>-1.6142363665860287E-2</v>
      </c>
      <c r="K30" s="49">
        <f t="shared" si="10"/>
        <v>-1.7076645140561057E-2</v>
      </c>
      <c r="L30" s="49">
        <f t="shared" si="10"/>
        <v>-1.6227696189480847E-2</v>
      </c>
    </row>
    <row r="31" spans="2:12" x14ac:dyDescent="0.3">
      <c r="C31" s="7"/>
      <c r="D31" s="7"/>
      <c r="E31" s="7"/>
      <c r="F31" s="7"/>
      <c r="G31" s="7"/>
      <c r="H31" s="7"/>
      <c r="I31" s="7"/>
      <c r="J31" s="7"/>
      <c r="K31" s="7"/>
      <c r="L31" s="7"/>
    </row>
    <row r="32" spans="2:12" x14ac:dyDescent="0.3">
      <c r="B32" s="54" t="s">
        <v>233</v>
      </c>
      <c r="C32" s="55"/>
      <c r="D32" s="55"/>
      <c r="E32" s="55"/>
      <c r="F32" s="55"/>
      <c r="G32" s="55"/>
      <c r="H32" s="55"/>
      <c r="I32" s="55"/>
      <c r="J32" s="55"/>
      <c r="K32" s="55"/>
      <c r="L32" s="55"/>
    </row>
    <row r="33" spans="2:12" x14ac:dyDescent="0.3">
      <c r="C33" s="7"/>
      <c r="D33" s="7"/>
      <c r="E33" s="7"/>
      <c r="F33" s="7"/>
      <c r="G33" s="7"/>
      <c r="H33" s="7"/>
      <c r="I33" s="7"/>
      <c r="J33" s="7"/>
      <c r="K33" s="7"/>
      <c r="L33" s="7"/>
    </row>
    <row r="34" spans="2:12" x14ac:dyDescent="0.3">
      <c r="B34" s="2" t="s">
        <v>233</v>
      </c>
      <c r="C34" s="7">
        <f>C16</f>
        <v>-139</v>
      </c>
      <c r="D34" s="7">
        <f t="shared" ref="D34:G34" si="11">D16</f>
        <v>-139</v>
      </c>
      <c r="E34" s="7">
        <f t="shared" si="11"/>
        <v>-155</v>
      </c>
      <c r="F34" s="7">
        <f t="shared" si="11"/>
        <v>-158</v>
      </c>
      <c r="G34" s="7">
        <f t="shared" si="11"/>
        <v>-178</v>
      </c>
      <c r="H34" s="7">
        <f>AVERAGE(H14:H15)*H35</f>
        <v>-226.24873097698548</v>
      </c>
      <c r="I34" s="7">
        <f t="shared" ref="I34:L34" si="12">AVERAGE(I14:I15)*I35</f>
        <v>-226.93129825301961</v>
      </c>
      <c r="J34" s="7">
        <f t="shared" si="12"/>
        <v>-236.17126524914008</v>
      </c>
      <c r="K34" s="7">
        <f t="shared" si="12"/>
        <v>-256.22074041892057</v>
      </c>
      <c r="L34" s="7">
        <f t="shared" si="12"/>
        <v>-286.85565889122336</v>
      </c>
    </row>
    <row r="35" spans="2:12" x14ac:dyDescent="0.3">
      <c r="C35" s="7"/>
      <c r="D35" s="38">
        <f t="shared" ref="D35:G35" si="13">D34/AVERAGE(D14:D15)</f>
        <v>-0.24069264069264068</v>
      </c>
      <c r="E35" s="38">
        <f t="shared" si="13"/>
        <v>-0.23360964581763377</v>
      </c>
      <c r="F35" s="38">
        <f t="shared" si="13"/>
        <v>-0.1970074812967581</v>
      </c>
      <c r="G35" s="38">
        <f t="shared" si="13"/>
        <v>-0.17231364956437561</v>
      </c>
      <c r="H35" s="49">
        <f>AVERAGE(D35:G35)</f>
        <v>-0.21090585434285203</v>
      </c>
      <c r="I35" s="39">
        <v>-0.21090585434285203</v>
      </c>
      <c r="J35" s="39">
        <v>-0.21090585434285203</v>
      </c>
      <c r="K35" s="39">
        <v>-0.21090585434285203</v>
      </c>
      <c r="L35" s="39">
        <v>-0.21090585434285203</v>
      </c>
    </row>
    <row r="36" spans="2:12" x14ac:dyDescent="0.3">
      <c r="C36" s="7"/>
      <c r="D36" s="7"/>
      <c r="E36" s="7"/>
      <c r="F36" s="7"/>
      <c r="G36" s="7"/>
      <c r="H36" s="7"/>
      <c r="I36" s="7"/>
      <c r="J36" s="7"/>
      <c r="K36" s="7"/>
      <c r="L36" s="7"/>
    </row>
    <row r="37" spans="2:12" x14ac:dyDescent="0.3">
      <c r="B37" s="54" t="s">
        <v>234</v>
      </c>
      <c r="C37" s="55"/>
      <c r="D37" s="55"/>
      <c r="E37" s="55"/>
      <c r="F37" s="55"/>
      <c r="G37" s="55"/>
      <c r="H37" s="55"/>
      <c r="I37" s="55"/>
      <c r="J37" s="55"/>
      <c r="K37" s="55"/>
      <c r="L37" s="55"/>
    </row>
    <row r="38" spans="2:12" x14ac:dyDescent="0.3">
      <c r="C38" s="7"/>
      <c r="D38" s="7"/>
      <c r="E38" s="7"/>
      <c r="F38" s="7"/>
      <c r="G38" s="7"/>
      <c r="H38" s="7"/>
      <c r="I38" s="7"/>
      <c r="J38" s="7"/>
      <c r="K38" s="7"/>
      <c r="L38" s="7"/>
    </row>
    <row r="39" spans="2:12" x14ac:dyDescent="0.3">
      <c r="B39" t="s">
        <v>58</v>
      </c>
      <c r="C39" s="38">
        <f>'Balance Sheet'!C16/'Asset Schedule'!C19</f>
        <v>0.55913978494623651</v>
      </c>
      <c r="D39" s="38">
        <f>'Balance Sheet'!D16/'Asset Schedule'!D19</f>
        <v>0.5240174672489083</v>
      </c>
      <c r="E39" s="38">
        <f>'Balance Sheet'!E16/'Asset Schedule'!E19</f>
        <v>0.43625086147484493</v>
      </c>
      <c r="F39" s="38">
        <f>'Balance Sheet'!F16/'Asset Schedule'!F19</f>
        <v>0.36745406824146981</v>
      </c>
      <c r="G39" s="38">
        <f>'Balance Sheet'!G16/'Asset Schedule'!G19</f>
        <v>0.36579082946934571</v>
      </c>
      <c r="H39" s="42">
        <f>AVERAGE(C39:G39)</f>
        <v>0.45053060227616104</v>
      </c>
      <c r="I39" s="42">
        <v>0.45053060227616099</v>
      </c>
      <c r="J39" s="42">
        <v>0.45053060227616104</v>
      </c>
      <c r="K39" s="42">
        <v>0.45053060227616104</v>
      </c>
      <c r="L39" s="42">
        <v>0.45053060227616104</v>
      </c>
    </row>
    <row r="40" spans="2:12" x14ac:dyDescent="0.3">
      <c r="B40" t="s">
        <v>59</v>
      </c>
      <c r="C40" s="38">
        <f>'Balance Sheet'!C17/'Asset Schedule'!C19</f>
        <v>2.3460410557184751E-2</v>
      </c>
      <c r="D40" s="38">
        <f>'Balance Sheet'!D17/'Asset Schedule'!D19</f>
        <v>3.4061135371179038E-2</v>
      </c>
      <c r="E40" s="38">
        <f>'Balance Sheet'!E17/'Asset Schedule'!E19</f>
        <v>4.6175051688490697E-2</v>
      </c>
      <c r="F40" s="38">
        <f>'Balance Sheet'!F17/'Asset Schedule'!F19</f>
        <v>2.3097112860892388E-2</v>
      </c>
      <c r="G40" s="38">
        <f>'Balance Sheet'!G17/'Asset Schedule'!G19</f>
        <v>2.0607934054611025E-2</v>
      </c>
      <c r="H40" s="42">
        <f>AVERAGE(C40:G40)</f>
        <v>2.9480328906471582E-2</v>
      </c>
      <c r="I40" s="42">
        <v>2.9480328906471582E-2</v>
      </c>
      <c r="J40" s="42">
        <v>2.9480328906471582E-2</v>
      </c>
      <c r="K40" s="42">
        <v>2.9480328906471582E-2</v>
      </c>
      <c r="L40" s="42">
        <v>2.9480328906471582E-2</v>
      </c>
    </row>
    <row r="41" spans="2:12" x14ac:dyDescent="0.3">
      <c r="B41" t="s">
        <v>60</v>
      </c>
      <c r="C41" s="38">
        <f>'Balance Sheet'!C18/'Asset Schedule'!C19</f>
        <v>0.17595307917888564</v>
      </c>
      <c r="D41" s="38">
        <f>'Balance Sheet'!D18/'Asset Schedule'!D19</f>
        <v>0.1554585152838428</v>
      </c>
      <c r="E41" s="38">
        <f>'Balance Sheet'!E18/'Asset Schedule'!E19</f>
        <v>0.1206064782908339</v>
      </c>
      <c r="F41" s="38">
        <f>'Balance Sheet'!F18/'Asset Schedule'!F19</f>
        <v>0.10971128608923884</v>
      </c>
      <c r="G41" s="38">
        <f>'Balance Sheet'!G18/'Asset Schedule'!G19</f>
        <v>0.11849562081401339</v>
      </c>
      <c r="H41" s="42">
        <f t="shared" ref="H41:H43" si="14">AVERAGE(C41:G41)</f>
        <v>0.13604499593136293</v>
      </c>
      <c r="I41" s="42">
        <v>0.13604499593136293</v>
      </c>
      <c r="J41" s="42">
        <v>0.13604499593136293</v>
      </c>
      <c r="K41" s="42">
        <v>0.13604499593136293</v>
      </c>
      <c r="L41" s="42">
        <v>0.13604499593136293</v>
      </c>
    </row>
    <row r="42" spans="2:12" x14ac:dyDescent="0.3">
      <c r="B42" t="s">
        <v>61</v>
      </c>
      <c r="C42" s="38">
        <f>'Balance Sheet'!C19/'Asset Schedule'!C19</f>
        <v>1.6617790811339198E-2</v>
      </c>
      <c r="D42" s="38">
        <f>'Balance Sheet'!D19/'Asset Schedule'!D19</f>
        <v>1.9213973799126639E-2</v>
      </c>
      <c r="E42" s="38">
        <f>'Balance Sheet'!E19/'Asset Schedule'!E19</f>
        <v>1.1026878015161957E-2</v>
      </c>
      <c r="F42" s="38">
        <f>'Balance Sheet'!F19/'Asset Schedule'!F19</f>
        <v>7.874015748031496E-3</v>
      </c>
      <c r="G42" s="38">
        <f>'Balance Sheet'!G19/'Asset Schedule'!G19</f>
        <v>7.7279752704791345E-3</v>
      </c>
      <c r="H42" s="42">
        <f t="shared" si="14"/>
        <v>1.2492126728827685E-2</v>
      </c>
      <c r="I42" s="42">
        <v>1.2492126728827685E-2</v>
      </c>
      <c r="J42" s="42">
        <v>1.2492126728827685E-2</v>
      </c>
      <c r="K42" s="42">
        <v>1.2492126728827685E-2</v>
      </c>
      <c r="L42" s="42">
        <v>1.2492126728827685E-2</v>
      </c>
    </row>
    <row r="43" spans="2:12" x14ac:dyDescent="0.3">
      <c r="B43" t="s">
        <v>63</v>
      </c>
      <c r="C43" s="38">
        <f>'Balance Sheet'!C21/'Asset Schedule'!C19</f>
        <v>0.22482893450635386</v>
      </c>
      <c r="D43" s="38">
        <f>'Balance Sheet'!D21/'Asset Schedule'!D19</f>
        <v>0.26724890829694326</v>
      </c>
      <c r="E43" s="38">
        <f>'Balance Sheet'!E21/'Asset Schedule'!E19</f>
        <v>0.38594073053066852</v>
      </c>
      <c r="F43" s="38">
        <f>'Balance Sheet'!F21/'Asset Schedule'!F19</f>
        <v>0.49186351706036746</v>
      </c>
      <c r="G43" s="38">
        <f>'Balance Sheet'!G21/'Asset Schedule'!G19</f>
        <v>0.48737764039155074</v>
      </c>
      <c r="H43" s="42">
        <f t="shared" si="14"/>
        <v>0.37145194615717675</v>
      </c>
      <c r="I43" s="42">
        <v>0.37145194615717675</v>
      </c>
      <c r="J43" s="42">
        <v>0.37145194615717675</v>
      </c>
      <c r="K43" s="42">
        <v>0.37145194615717675</v>
      </c>
      <c r="L43" s="42">
        <v>0.37145194615717675</v>
      </c>
    </row>
    <row r="44" spans="2:12" x14ac:dyDescent="0.3">
      <c r="B44" s="1" t="s">
        <v>38</v>
      </c>
      <c r="C44" s="51">
        <f>SUM(C39:C43)</f>
        <v>1</v>
      </c>
      <c r="D44" s="51">
        <f t="shared" ref="D44:G44" si="15">SUM(D39:D43)</f>
        <v>1</v>
      </c>
      <c r="E44" s="51">
        <f t="shared" si="15"/>
        <v>1</v>
      </c>
      <c r="F44" s="51">
        <f t="shared" si="15"/>
        <v>1</v>
      </c>
      <c r="G44" s="51">
        <f t="shared" si="15"/>
        <v>1</v>
      </c>
      <c r="H44" s="51">
        <f>AVERAGE(C44:G44)</f>
        <v>1</v>
      </c>
      <c r="I44" s="51">
        <v>1</v>
      </c>
      <c r="J44" s="51">
        <v>1</v>
      </c>
      <c r="K44" s="51">
        <v>1</v>
      </c>
      <c r="L44" s="51">
        <v>1</v>
      </c>
    </row>
    <row r="45" spans="2:12" x14ac:dyDescent="0.3">
      <c r="C45" s="7"/>
      <c r="D45" s="7"/>
      <c r="E45" s="7"/>
      <c r="F45" s="7"/>
      <c r="G45" s="7"/>
      <c r="H45" s="7"/>
      <c r="I45" s="7"/>
      <c r="J45" s="7"/>
      <c r="K45" s="7"/>
      <c r="L45" s="7"/>
    </row>
    <row r="46" spans="2:12" x14ac:dyDescent="0.3">
      <c r="B46" t="s">
        <v>58</v>
      </c>
      <c r="C46" s="7">
        <f>'Balance Sheet'!C16</f>
        <v>572</v>
      </c>
      <c r="D46" s="7">
        <f>$D$51*D39</f>
        <v>600</v>
      </c>
      <c r="E46" s="7">
        <f>$E$51*E39</f>
        <v>633</v>
      </c>
      <c r="F46" s="7">
        <f>$F$51*F39</f>
        <v>700</v>
      </c>
      <c r="G46" s="7">
        <f>G39*G51</f>
        <v>710</v>
      </c>
      <c r="H46" s="12">
        <f>H39*H51</f>
        <v>852.07699681660199</v>
      </c>
      <c r="I46" s="12">
        <f>I39*I51</f>
        <v>852.56334166154193</v>
      </c>
      <c r="J46" s="12">
        <f t="shared" ref="J46:L46" si="16">J39*J51</f>
        <v>888.83882278278202</v>
      </c>
      <c r="K46" s="12">
        <f>K39*K51</f>
        <v>964.04806797849108</v>
      </c>
      <c r="L46" s="12">
        <f t="shared" si="16"/>
        <v>1080.6629478068278</v>
      </c>
    </row>
    <row r="47" spans="2:12" x14ac:dyDescent="0.3">
      <c r="B47" t="s">
        <v>59</v>
      </c>
      <c r="C47" s="7">
        <f>'Balance Sheet'!C17</f>
        <v>24</v>
      </c>
      <c r="D47" s="7">
        <f t="shared" ref="D47:D50" si="17">$D$51*D40</f>
        <v>39</v>
      </c>
      <c r="E47" s="7">
        <f t="shared" ref="E47:E50" si="18">$E$51*E40</f>
        <v>67</v>
      </c>
      <c r="F47" s="7">
        <f t="shared" ref="F47:F50" si="19">$F$51*F40</f>
        <v>44</v>
      </c>
      <c r="G47" s="7">
        <f>G40*G51</f>
        <v>40</v>
      </c>
      <c r="H47" s="12">
        <f t="shared" ref="H47:L47" si="20">H40*H51</f>
        <v>55.755391515878642</v>
      </c>
      <c r="I47" s="12">
        <f t="shared" si="20"/>
        <v>55.787215338541003</v>
      </c>
      <c r="J47" s="12">
        <f t="shared" si="20"/>
        <v>58.16089008847316</v>
      </c>
      <c r="K47" s="12">
        <f t="shared" si="20"/>
        <v>63.08218350111887</v>
      </c>
      <c r="L47" s="12">
        <f t="shared" si="20"/>
        <v>70.71284165255058</v>
      </c>
    </row>
    <row r="48" spans="2:12" x14ac:dyDescent="0.3">
      <c r="B48" t="s">
        <v>60</v>
      </c>
      <c r="C48" s="7">
        <f t="shared" ref="C48:C50" si="21">$C$51*C41</f>
        <v>180</v>
      </c>
      <c r="D48" s="7">
        <f t="shared" si="17"/>
        <v>178</v>
      </c>
      <c r="E48" s="7">
        <f t="shared" si="18"/>
        <v>175</v>
      </c>
      <c r="F48" s="7">
        <f t="shared" si="19"/>
        <v>209</v>
      </c>
      <c r="G48" s="7">
        <f>G41*G51</f>
        <v>230</v>
      </c>
      <c r="H48" s="12">
        <f t="shared" ref="H48:L48" si="22">H41*H51</f>
        <v>257.29841875217784</v>
      </c>
      <c r="I48" s="12">
        <f t="shared" si="22"/>
        <v>257.4452784374397</v>
      </c>
      <c r="J48" s="12">
        <f>J41*J51</f>
        <v>268.39924617373623</v>
      </c>
      <c r="K48" s="12">
        <f t="shared" si="22"/>
        <v>291.10989314190675</v>
      </c>
      <c r="L48" s="12">
        <f t="shared" si="22"/>
        <v>326.32364060241281</v>
      </c>
    </row>
    <row r="49" spans="2:12" x14ac:dyDescent="0.3">
      <c r="B49" t="s">
        <v>61</v>
      </c>
      <c r="C49" s="7">
        <f t="shared" si="21"/>
        <v>17</v>
      </c>
      <c r="D49" s="7">
        <f t="shared" si="17"/>
        <v>22</v>
      </c>
      <c r="E49" s="7">
        <f t="shared" si="18"/>
        <v>16</v>
      </c>
      <c r="F49" s="7">
        <f t="shared" si="19"/>
        <v>15</v>
      </c>
      <c r="G49" s="7">
        <f>G42*G51</f>
        <v>15</v>
      </c>
      <c r="H49" s="12">
        <f t="shared" ref="H49:L49" si="23">H42*H51</f>
        <v>23.626039547980149</v>
      </c>
      <c r="I49" s="12">
        <f t="shared" si="23"/>
        <v>23.639524717258791</v>
      </c>
      <c r="J49" s="12">
        <f>J42*J51</f>
        <v>24.645356296792549</v>
      </c>
      <c r="K49" s="12">
        <f t="shared" si="23"/>
        <v>26.730727229238941</v>
      </c>
      <c r="L49" s="12">
        <f t="shared" si="23"/>
        <v>29.964176521967875</v>
      </c>
    </row>
    <row r="50" spans="2:12" x14ac:dyDescent="0.3">
      <c r="B50" t="s">
        <v>63</v>
      </c>
      <c r="C50" s="7">
        <f t="shared" si="21"/>
        <v>230</v>
      </c>
      <c r="D50" s="7">
        <f t="shared" si="17"/>
        <v>306</v>
      </c>
      <c r="E50" s="7">
        <f t="shared" si="18"/>
        <v>560</v>
      </c>
      <c r="F50" s="7">
        <f t="shared" si="19"/>
        <v>937</v>
      </c>
      <c r="G50" s="7">
        <f>G43*G51</f>
        <v>946</v>
      </c>
      <c r="H50" s="12">
        <f t="shared" ref="H50:L50" si="24">H43*H51</f>
        <v>702.51755850600648</v>
      </c>
      <c r="I50" s="12">
        <f t="shared" si="24"/>
        <v>702.91853845774301</v>
      </c>
      <c r="J50" s="12">
        <f t="shared" si="24"/>
        <v>732.826824359292</v>
      </c>
      <c r="K50" s="12">
        <f t="shared" si="24"/>
        <v>794.83508829478865</v>
      </c>
      <c r="L50" s="12">
        <f t="shared" si="24"/>
        <v>890.98132973605061</v>
      </c>
    </row>
    <row r="51" spans="2:12" x14ac:dyDescent="0.3">
      <c r="B51" s="1" t="s">
        <v>38</v>
      </c>
      <c r="C51" s="13">
        <f>C19</f>
        <v>1023</v>
      </c>
      <c r="D51" s="13">
        <f t="shared" ref="D51:F51" si="25">D19</f>
        <v>1145</v>
      </c>
      <c r="E51" s="13">
        <f t="shared" si="25"/>
        <v>1451</v>
      </c>
      <c r="F51" s="13">
        <f t="shared" si="25"/>
        <v>1905</v>
      </c>
      <c r="G51" s="13">
        <f t="shared" ref="G51:L51" si="26">G19</f>
        <v>1941</v>
      </c>
      <c r="H51" s="13">
        <f t="shared" si="26"/>
        <v>1891.2744051386451</v>
      </c>
      <c r="I51" s="13">
        <f t="shared" si="26"/>
        <v>1892.3538986125245</v>
      </c>
      <c r="J51" s="13">
        <f t="shared" si="26"/>
        <v>1972.8711397010759</v>
      </c>
      <c r="K51" s="13">
        <f t="shared" si="26"/>
        <v>2139.8059601455443</v>
      </c>
      <c r="L51" s="13">
        <f t="shared" si="26"/>
        <v>2398.6449363198099</v>
      </c>
    </row>
    <row r="52" spans="2:12" x14ac:dyDescent="0.3">
      <c r="C52" s="7"/>
      <c r="D52" s="7"/>
      <c r="E52" s="7"/>
      <c r="F52" s="7"/>
      <c r="G52" s="7"/>
      <c r="H52" s="7"/>
      <c r="I52" s="7"/>
      <c r="J52" s="7"/>
      <c r="K52" s="7"/>
      <c r="L52" s="7"/>
    </row>
    <row r="53" spans="2:12" x14ac:dyDescent="0.3">
      <c r="C53" s="7"/>
      <c r="D53" s="7"/>
      <c r="E53" s="7"/>
      <c r="F53" s="7"/>
      <c r="G53" s="7"/>
      <c r="H53" s="7"/>
      <c r="I53" s="7"/>
      <c r="J53" s="7"/>
      <c r="K53" s="7"/>
      <c r="L53" s="7"/>
    </row>
    <row r="54" spans="2:12" x14ac:dyDescent="0.3">
      <c r="C54" s="7"/>
      <c r="D54" s="7"/>
      <c r="E54" s="7"/>
      <c r="F54" s="7"/>
      <c r="G54" s="7"/>
      <c r="H54" s="7"/>
      <c r="I54" s="7"/>
      <c r="J54" s="7"/>
      <c r="K54" s="7"/>
      <c r="L54" s="7"/>
    </row>
    <row r="55" spans="2:12" x14ac:dyDescent="0.3">
      <c r="C55" s="7"/>
      <c r="D55" s="7"/>
      <c r="E55" s="7"/>
      <c r="F55" s="7"/>
      <c r="G55" s="7"/>
      <c r="H55" s="7"/>
      <c r="I55" s="7"/>
      <c r="J55" s="7"/>
      <c r="K55" s="7"/>
      <c r="L55" s="7"/>
    </row>
    <row r="56" spans="2:12" x14ac:dyDescent="0.3">
      <c r="C56" s="7"/>
      <c r="D56" s="7"/>
      <c r="E56" s="7"/>
      <c r="F56" s="7"/>
      <c r="G56" s="7"/>
      <c r="H56" s="7"/>
      <c r="I56" s="7"/>
      <c r="J56" s="7"/>
      <c r="K56" s="7"/>
      <c r="L56" s="7"/>
    </row>
    <row r="57" spans="2:12" x14ac:dyDescent="0.3">
      <c r="C57" s="7"/>
      <c r="D57" s="7"/>
      <c r="E57" s="7"/>
      <c r="F57" s="7"/>
      <c r="G57" s="7"/>
      <c r="H57" s="7"/>
      <c r="I57" s="7"/>
      <c r="J57" s="7"/>
      <c r="K57" s="7"/>
      <c r="L57" s="7"/>
    </row>
    <row r="58" spans="2:12" x14ac:dyDescent="0.3">
      <c r="C58" s="7"/>
      <c r="D58" s="7"/>
      <c r="E58" s="7"/>
      <c r="F58" s="7"/>
      <c r="G58" s="7"/>
      <c r="H58" s="7"/>
      <c r="I58" s="7"/>
      <c r="J58" s="7"/>
      <c r="K58" s="7"/>
      <c r="L58" s="7"/>
    </row>
    <row r="59" spans="2:12" x14ac:dyDescent="0.3">
      <c r="C59" s="7"/>
      <c r="D59" s="7"/>
      <c r="E59" s="7"/>
      <c r="F59" s="7"/>
      <c r="G59" s="7"/>
      <c r="H59" s="7"/>
      <c r="I59" s="7"/>
      <c r="J59" s="7"/>
      <c r="K59" s="7"/>
      <c r="L59" s="7"/>
    </row>
    <row r="60" spans="2:12" x14ac:dyDescent="0.3">
      <c r="C60" s="7"/>
      <c r="D60" s="7"/>
      <c r="E60" s="7"/>
      <c r="F60" s="7"/>
      <c r="G60" s="7"/>
      <c r="H60" s="7"/>
      <c r="I60" s="7"/>
      <c r="J60" s="7"/>
      <c r="K60" s="7"/>
      <c r="L60" s="7"/>
    </row>
    <row r="61" spans="2:12" x14ac:dyDescent="0.3">
      <c r="C61" s="7"/>
      <c r="D61" s="7"/>
      <c r="E61" s="7"/>
      <c r="F61" s="7"/>
      <c r="G61" s="7"/>
      <c r="H61" s="7"/>
      <c r="I61" s="7"/>
      <c r="J61" s="7"/>
      <c r="K61" s="7"/>
      <c r="L61" s="7"/>
    </row>
    <row r="62" spans="2:12" x14ac:dyDescent="0.3">
      <c r="C62" s="7"/>
      <c r="D62" s="7"/>
      <c r="E62" s="7"/>
      <c r="F62" s="7"/>
      <c r="G62" s="7"/>
      <c r="H62" s="7"/>
      <c r="I62" s="7"/>
      <c r="J62" s="7"/>
      <c r="K62" s="7"/>
      <c r="L62" s="7"/>
    </row>
    <row r="63" spans="2:12" x14ac:dyDescent="0.3">
      <c r="C63" s="7"/>
      <c r="D63" s="7"/>
      <c r="E63" s="7"/>
      <c r="F63" s="7"/>
      <c r="G63" s="7"/>
      <c r="H63" s="7"/>
      <c r="I63" s="7"/>
      <c r="J63" s="7"/>
      <c r="K63" s="7"/>
      <c r="L63" s="7"/>
    </row>
    <row r="64" spans="2:12" x14ac:dyDescent="0.3">
      <c r="C64" s="7"/>
      <c r="D64" s="7"/>
      <c r="E64" s="7"/>
      <c r="F64" s="7"/>
      <c r="G64" s="7"/>
      <c r="H64" s="7"/>
      <c r="I64" s="7"/>
      <c r="J64" s="7"/>
      <c r="K64" s="7"/>
      <c r="L64" s="7"/>
    </row>
    <row r="65" spans="3:12" x14ac:dyDescent="0.3">
      <c r="C65" s="7"/>
      <c r="D65" s="7"/>
      <c r="E65" s="7"/>
      <c r="F65" s="7"/>
      <c r="G65" s="7"/>
      <c r="H65" s="7"/>
      <c r="I65" s="7"/>
      <c r="J65" s="7"/>
      <c r="K65" s="7"/>
      <c r="L65" s="7"/>
    </row>
    <row r="66" spans="3:12" x14ac:dyDescent="0.3">
      <c r="C66" s="7"/>
      <c r="D66" s="7"/>
      <c r="E66" s="7"/>
      <c r="F66" s="7"/>
      <c r="G66" s="7"/>
      <c r="H66" s="7"/>
      <c r="I66" s="7"/>
      <c r="J66" s="7"/>
      <c r="K66" s="7"/>
      <c r="L66" s="7"/>
    </row>
    <row r="67" spans="3:12" x14ac:dyDescent="0.3">
      <c r="C67" s="7"/>
      <c r="D67" s="7"/>
      <c r="E67" s="7"/>
      <c r="F67" s="7"/>
      <c r="G67" s="7"/>
      <c r="H67" s="7"/>
      <c r="I67" s="7"/>
      <c r="J67" s="7"/>
      <c r="K67" s="7"/>
      <c r="L67" s="7"/>
    </row>
    <row r="68" spans="3:12" x14ac:dyDescent="0.3">
      <c r="C68" s="7"/>
      <c r="D68" s="7"/>
      <c r="E68" s="7"/>
      <c r="F68" s="7"/>
      <c r="G68" s="7"/>
      <c r="H68" s="7"/>
      <c r="I68" s="7"/>
      <c r="J68" s="7"/>
      <c r="K68" s="7"/>
      <c r="L68" s="7"/>
    </row>
    <row r="69" spans="3:12" x14ac:dyDescent="0.3">
      <c r="C69" s="7"/>
      <c r="D69" s="7"/>
      <c r="E69" s="7"/>
      <c r="F69" s="7"/>
      <c r="G69" s="7"/>
      <c r="H69" s="7"/>
      <c r="I69" s="7"/>
      <c r="J69" s="7"/>
      <c r="K69" s="7"/>
      <c r="L69" s="7"/>
    </row>
    <row r="70" spans="3:12" x14ac:dyDescent="0.3">
      <c r="C70" s="7"/>
      <c r="D70" s="7"/>
      <c r="E70" s="7"/>
      <c r="F70" s="7"/>
      <c r="G70" s="7"/>
      <c r="H70" s="7"/>
      <c r="I70" s="7"/>
      <c r="J70" s="7"/>
      <c r="K70" s="7"/>
      <c r="L70" s="7"/>
    </row>
    <row r="71" spans="3:12" x14ac:dyDescent="0.3">
      <c r="C71" s="7"/>
      <c r="D71" s="7"/>
      <c r="E71" s="7"/>
      <c r="F71" s="7"/>
      <c r="G71" s="7"/>
      <c r="H71" s="7"/>
      <c r="I71" s="7"/>
      <c r="J71" s="7"/>
      <c r="K71" s="7"/>
      <c r="L71" s="7"/>
    </row>
    <row r="72" spans="3:12" x14ac:dyDescent="0.3">
      <c r="C72" s="7"/>
      <c r="D72" s="7"/>
      <c r="E72" s="7"/>
      <c r="F72" s="7"/>
      <c r="G72" s="7"/>
      <c r="H72" s="7"/>
      <c r="I72" s="7"/>
      <c r="J72" s="7"/>
      <c r="K72" s="7"/>
      <c r="L72" s="7"/>
    </row>
    <row r="73" spans="3:12" x14ac:dyDescent="0.3">
      <c r="C73" s="7"/>
      <c r="D73" s="7"/>
      <c r="E73" s="7"/>
      <c r="F73" s="7"/>
      <c r="G73" s="7"/>
      <c r="H73" s="7"/>
      <c r="I73" s="7"/>
      <c r="J73" s="7"/>
      <c r="K73" s="7"/>
      <c r="L73" s="7"/>
    </row>
  </sheetData>
  <mergeCells count="12">
    <mergeCell ref="I10:I11"/>
    <mergeCell ref="J10:J11"/>
    <mergeCell ref="K10:K11"/>
    <mergeCell ref="L10:L11"/>
    <mergeCell ref="E2:H5"/>
    <mergeCell ref="G10:G11"/>
    <mergeCell ref="H10:H11"/>
    <mergeCell ref="B10:B11"/>
    <mergeCell ref="C10:C11"/>
    <mergeCell ref="D10:D11"/>
    <mergeCell ref="E10:E11"/>
    <mergeCell ref="F10:F11"/>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735E-4ACD-4632-B258-49AA1AAFC234}">
  <dimension ref="A2:L74"/>
  <sheetViews>
    <sheetView topLeftCell="A19" zoomScale="86" workbookViewId="0">
      <selection activeCell="B14" sqref="B14"/>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1:12" x14ac:dyDescent="0.3">
      <c r="E2" s="124" t="s">
        <v>0</v>
      </c>
      <c r="F2" s="125"/>
      <c r="G2" s="125"/>
      <c r="H2" s="125"/>
    </row>
    <row r="3" spans="1:12" x14ac:dyDescent="0.3">
      <c r="E3" s="125"/>
      <c r="F3" s="125"/>
      <c r="G3" s="125"/>
      <c r="H3" s="125"/>
    </row>
    <row r="4" spans="1:12" x14ac:dyDescent="0.3">
      <c r="E4" s="125"/>
      <c r="F4" s="125"/>
      <c r="G4" s="125"/>
      <c r="H4" s="125"/>
    </row>
    <row r="5" spans="1:12" x14ac:dyDescent="0.3">
      <c r="E5" s="125"/>
      <c r="F5" s="125"/>
      <c r="G5" s="125"/>
      <c r="H5" s="125"/>
    </row>
    <row r="9" spans="1:12" ht="15" thickBot="1" x14ac:dyDescent="0.35"/>
    <row r="10" spans="1: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1:12" ht="15" thickBot="1" x14ac:dyDescent="0.35">
      <c r="B11" s="128"/>
      <c r="C11" s="121"/>
      <c r="D11" s="121"/>
      <c r="E11" s="121"/>
      <c r="F11" s="121"/>
      <c r="G11" s="121"/>
      <c r="H11" s="126"/>
      <c r="I11" s="121"/>
      <c r="J11" s="121"/>
      <c r="K11" s="121"/>
      <c r="L11" s="123"/>
    </row>
    <row r="12" spans="1:12" x14ac:dyDescent="0.3">
      <c r="B12" s="45" t="s">
        <v>7</v>
      </c>
      <c r="C12" s="57">
        <f>'Income statement'!C14</f>
        <v>8048</v>
      </c>
      <c r="D12" s="57">
        <f>'Income statement'!D14</f>
        <v>9512</v>
      </c>
      <c r="E12" s="57">
        <f>'Income statement'!E14</f>
        <v>9764</v>
      </c>
      <c r="F12" s="57">
        <f>'Income statement'!F14</f>
        <v>9653</v>
      </c>
      <c r="G12" s="57">
        <f>'Income statement'!G14</f>
        <v>10831</v>
      </c>
      <c r="H12" s="57">
        <f>'Income statement'!H14</f>
        <v>12284.932435512275</v>
      </c>
      <c r="I12" s="57">
        <f>'Income statement'!I14</f>
        <v>14098.948492171397</v>
      </c>
      <c r="J12" s="57">
        <f>'Income statement'!J14</f>
        <v>16389.013251515476</v>
      </c>
      <c r="K12" s="57">
        <f>'Income statement'!K14</f>
        <v>19317.25232405444</v>
      </c>
      <c r="L12" s="57">
        <f>'Income statement'!L14</f>
        <v>23113.825392696977</v>
      </c>
    </row>
    <row r="14" spans="1:12" x14ac:dyDescent="0.3">
      <c r="B14" s="1" t="s">
        <v>242</v>
      </c>
      <c r="C14" s="9"/>
      <c r="D14" s="9"/>
      <c r="E14" s="9"/>
      <c r="F14" s="9"/>
      <c r="G14" s="9"/>
      <c r="H14" s="9"/>
      <c r="I14" s="9"/>
      <c r="J14" s="9"/>
      <c r="K14" s="9"/>
      <c r="L14" s="9"/>
    </row>
    <row r="15" spans="1:12" x14ac:dyDescent="0.3">
      <c r="C15" s="9"/>
      <c r="D15" s="9"/>
      <c r="E15" s="9"/>
      <c r="F15" s="9"/>
      <c r="G15" s="9"/>
      <c r="H15" s="41"/>
      <c r="I15" s="41"/>
      <c r="J15" s="41"/>
      <c r="K15" s="41"/>
      <c r="L15" s="41"/>
    </row>
    <row r="16" spans="1:12" x14ac:dyDescent="0.3">
      <c r="A16" s="38"/>
      <c r="B16" s="1" t="s">
        <v>235</v>
      </c>
      <c r="C16" s="9"/>
      <c r="D16" s="9">
        <f>C20</f>
        <v>340</v>
      </c>
      <c r="E16" s="9">
        <f t="shared" ref="E16:L16" si="0">D20</f>
        <v>345</v>
      </c>
      <c r="F16" s="9">
        <f t="shared" si="0"/>
        <v>473</v>
      </c>
      <c r="G16" s="9">
        <f t="shared" si="0"/>
        <v>383</v>
      </c>
      <c r="H16" s="9">
        <f t="shared" si="0"/>
        <v>379</v>
      </c>
      <c r="I16" s="9">
        <f t="shared" si="0"/>
        <v>394.87653032400351</v>
      </c>
      <c r="J16" s="9">
        <f t="shared" si="0"/>
        <v>415.24476971979385</v>
      </c>
      <c r="K16" s="9">
        <f t="shared" si="0"/>
        <v>441.26604539116073</v>
      </c>
      <c r="L16" s="9">
        <f t="shared" si="0"/>
        <v>474.51692576826935</v>
      </c>
    </row>
    <row r="17" spans="2:12" x14ac:dyDescent="0.3">
      <c r="B17" t="s">
        <v>236</v>
      </c>
      <c r="C17" s="9">
        <f>C25</f>
        <v>13</v>
      </c>
      <c r="D17" s="9">
        <f t="shared" ref="D17:L17" si="1">D25</f>
        <v>0</v>
      </c>
      <c r="E17" s="9">
        <f t="shared" si="1"/>
        <v>128</v>
      </c>
      <c r="F17" s="9">
        <f t="shared" si="1"/>
        <v>0</v>
      </c>
      <c r="G17" s="9">
        <f t="shared" si="1"/>
        <v>0</v>
      </c>
      <c r="H17" s="9">
        <f t="shared" si="1"/>
        <v>36.178363256432377</v>
      </c>
      <c r="I17" s="9">
        <f t="shared" si="1"/>
        <v>41.520527911819613</v>
      </c>
      <c r="J17" s="9">
        <f t="shared" si="1"/>
        <v>48.26462643895568</v>
      </c>
      <c r="K17" s="9">
        <f t="shared" si="1"/>
        <v>56.888108694483073</v>
      </c>
      <c r="L17" s="9">
        <f t="shared" si="1"/>
        <v>68.06878065405256</v>
      </c>
    </row>
    <row r="18" spans="2:12" x14ac:dyDescent="0.3">
      <c r="B18" t="s">
        <v>237</v>
      </c>
      <c r="C18" s="9">
        <f>C31</f>
        <v>0</v>
      </c>
      <c r="D18" s="9">
        <f t="shared" ref="D18:L18" si="2">D31</f>
        <v>-3</v>
      </c>
      <c r="E18" s="9">
        <f t="shared" si="2"/>
        <v>0</v>
      </c>
      <c r="F18" s="9">
        <f t="shared" si="2"/>
        <v>-91</v>
      </c>
      <c r="G18" s="9">
        <f t="shared" si="2"/>
        <v>-5</v>
      </c>
      <c r="H18" s="9">
        <f t="shared" si="2"/>
        <v>-20.301832932428876</v>
      </c>
      <c r="I18" s="9">
        <f t="shared" si="2"/>
        <v>-21.152288516029298</v>
      </c>
      <c r="J18" s="9">
        <f t="shared" si="2"/>
        <v>-22.243350767588801</v>
      </c>
      <c r="K18" s="9">
        <f t="shared" si="2"/>
        <v>-23.637228317374465</v>
      </c>
      <c r="L18" s="9">
        <f t="shared" si="2"/>
        <v>-25.418372956615194</v>
      </c>
    </row>
    <row r="19" spans="2:12" x14ac:dyDescent="0.3">
      <c r="B19" t="s">
        <v>238</v>
      </c>
      <c r="C19" s="9"/>
      <c r="D19" s="9"/>
      <c r="E19" s="9"/>
      <c r="F19" s="9"/>
      <c r="G19" s="9"/>
      <c r="H19" s="41"/>
      <c r="I19" s="41"/>
      <c r="J19" s="41"/>
      <c r="K19" s="41"/>
      <c r="L19" s="41"/>
    </row>
    <row r="20" spans="2:12" x14ac:dyDescent="0.3">
      <c r="B20" s="1" t="s">
        <v>226</v>
      </c>
      <c r="C20" s="46">
        <f>'Balance Sheet'!C74</f>
        <v>340</v>
      </c>
      <c r="D20" s="46">
        <f>'Balance Sheet'!D74</f>
        <v>345</v>
      </c>
      <c r="E20" s="46">
        <f>'Balance Sheet'!E74</f>
        <v>473</v>
      </c>
      <c r="F20" s="46">
        <f>'Balance Sheet'!F74</f>
        <v>383</v>
      </c>
      <c r="G20" s="46">
        <f>'Balance Sheet'!G74</f>
        <v>379</v>
      </c>
      <c r="H20" s="46">
        <f>SUM(H16:H19)</f>
        <v>394.87653032400351</v>
      </c>
      <c r="I20" s="46">
        <f t="shared" ref="I20:L20" si="3">SUM(I16:I19)</f>
        <v>415.24476971979385</v>
      </c>
      <c r="J20" s="46">
        <f t="shared" si="3"/>
        <v>441.26604539116073</v>
      </c>
      <c r="K20" s="46">
        <f t="shared" si="3"/>
        <v>474.51692576826935</v>
      </c>
      <c r="L20" s="46">
        <f t="shared" si="3"/>
        <v>517.16733346570675</v>
      </c>
    </row>
    <row r="21" spans="2:12" x14ac:dyDescent="0.3">
      <c r="C21" s="9"/>
      <c r="D21" s="9"/>
      <c r="E21" s="9"/>
      <c r="F21" s="9"/>
      <c r="G21" s="9"/>
      <c r="H21" s="9"/>
      <c r="I21" s="9"/>
      <c r="J21" s="9"/>
      <c r="K21" s="9"/>
      <c r="L21" s="9"/>
    </row>
    <row r="22" spans="2:12" x14ac:dyDescent="0.3">
      <c r="C22" s="9"/>
      <c r="D22" s="9"/>
      <c r="E22" s="9"/>
      <c r="F22" s="9"/>
      <c r="G22" s="9"/>
      <c r="H22" s="9"/>
      <c r="I22" s="9"/>
      <c r="J22" s="9"/>
      <c r="K22" s="9"/>
      <c r="L22" s="9"/>
    </row>
    <row r="23" spans="2:12" x14ac:dyDescent="0.3">
      <c r="B23" s="54" t="s">
        <v>239</v>
      </c>
      <c r="C23" s="55"/>
      <c r="D23" s="55"/>
      <c r="E23" s="55"/>
      <c r="F23" s="55"/>
      <c r="G23" s="55"/>
      <c r="H23" s="55"/>
      <c r="I23" s="55"/>
      <c r="J23" s="55"/>
      <c r="K23" s="55"/>
      <c r="L23" s="55"/>
    </row>
    <row r="24" spans="2:12" x14ac:dyDescent="0.3">
      <c r="C24" s="9"/>
      <c r="D24" s="9"/>
      <c r="E24" s="9"/>
      <c r="F24" s="9"/>
      <c r="G24" s="9"/>
      <c r="H24" s="9"/>
      <c r="I24" s="9"/>
      <c r="J24" s="9"/>
      <c r="K24" s="9"/>
      <c r="L24" s="9"/>
    </row>
    <row r="25" spans="2:12" x14ac:dyDescent="0.3">
      <c r="B25" s="1" t="s">
        <v>236</v>
      </c>
      <c r="C25" s="9">
        <f>'Cashflow statement'!C56</f>
        <v>13</v>
      </c>
      <c r="D25" s="9">
        <f>'Cashflow statement'!D56</f>
        <v>0</v>
      </c>
      <c r="E25" s="9">
        <f>'Cashflow statement'!E56</f>
        <v>128</v>
      </c>
      <c r="F25" s="9">
        <f>'Cashflow statement'!F56</f>
        <v>0</v>
      </c>
      <c r="G25" s="9">
        <f>'Cashflow statement'!G56</f>
        <v>0</v>
      </c>
      <c r="H25" s="41">
        <f>H12*H27</f>
        <v>36.178363256432377</v>
      </c>
      <c r="I25" s="41">
        <f>I12*I27</f>
        <v>41.520527911819613</v>
      </c>
      <c r="J25" s="41">
        <f>J12*J27</f>
        <v>48.26462643895568</v>
      </c>
      <c r="K25" s="41">
        <f t="shared" ref="K25:L25" si="4">K12*K27</f>
        <v>56.888108694483073</v>
      </c>
      <c r="L25" s="41">
        <f t="shared" si="4"/>
        <v>68.06878065405256</v>
      </c>
    </row>
    <row r="26" spans="2:12" x14ac:dyDescent="0.3">
      <c r="C26" s="9"/>
      <c r="D26" s="9"/>
      <c r="E26" s="9"/>
      <c r="F26" s="9"/>
      <c r="G26" s="9"/>
      <c r="H26" s="9"/>
      <c r="I26" s="9"/>
      <c r="J26" s="9"/>
      <c r="K26" s="9"/>
      <c r="L26" s="9"/>
    </row>
    <row r="27" spans="2:12" x14ac:dyDescent="0.3">
      <c r="B27" t="s">
        <v>240</v>
      </c>
      <c r="C27" s="58">
        <f>C25/C12</f>
        <v>1.6153081510934394E-3</v>
      </c>
      <c r="D27" s="58">
        <f t="shared" ref="D27:G27" si="5">D25/D12</f>
        <v>0</v>
      </c>
      <c r="E27" s="58">
        <f>E25/E12</f>
        <v>1.3109381401065138E-2</v>
      </c>
      <c r="F27" s="58">
        <f t="shared" si="5"/>
        <v>0</v>
      </c>
      <c r="G27" s="58">
        <f t="shared" si="5"/>
        <v>0</v>
      </c>
      <c r="H27" s="59">
        <v>2.9449379104317199E-3</v>
      </c>
      <c r="I27" s="60">
        <v>2.9449379104317152E-3</v>
      </c>
      <c r="J27" s="60">
        <v>2.9449379104317152E-3</v>
      </c>
      <c r="K27" s="60">
        <v>2.9449379104317152E-3</v>
      </c>
      <c r="L27" s="60">
        <v>2.9449379104317152E-3</v>
      </c>
    </row>
    <row r="28" spans="2:12" x14ac:dyDescent="0.3">
      <c r="C28" s="9"/>
      <c r="D28" s="9"/>
      <c r="E28" s="9"/>
      <c r="F28" s="9"/>
      <c r="G28" s="9"/>
      <c r="H28" s="9"/>
      <c r="I28" s="9"/>
      <c r="J28" s="9"/>
      <c r="K28" s="9"/>
      <c r="L28" s="9"/>
    </row>
    <row r="29" spans="2:12" x14ac:dyDescent="0.3">
      <c r="B29" s="54" t="s">
        <v>237</v>
      </c>
      <c r="C29" s="55"/>
      <c r="D29" s="55"/>
      <c r="E29" s="55"/>
      <c r="F29" s="55"/>
      <c r="G29" s="55"/>
      <c r="H29" s="55"/>
      <c r="I29" s="55"/>
      <c r="J29" s="55"/>
      <c r="K29" s="55"/>
      <c r="L29" s="55"/>
    </row>
    <row r="30" spans="2:12" x14ac:dyDescent="0.3">
      <c r="C30" s="9"/>
      <c r="D30" s="9"/>
      <c r="E30" s="9"/>
      <c r="F30" s="9"/>
      <c r="G30" s="9"/>
      <c r="H30" s="9"/>
      <c r="I30" s="9"/>
      <c r="J30" s="9"/>
      <c r="K30" s="9"/>
      <c r="L30" s="9"/>
    </row>
    <row r="31" spans="2:12" x14ac:dyDescent="0.3">
      <c r="B31" t="s">
        <v>237</v>
      </c>
      <c r="C31" s="9">
        <f>'Cashflow statement'!C57</f>
        <v>0</v>
      </c>
      <c r="D31" s="9">
        <f>'Cashflow statement'!D57</f>
        <v>-3</v>
      </c>
      <c r="E31" s="9">
        <f>'Cashflow statement'!E57</f>
        <v>0</v>
      </c>
      <c r="F31" s="9">
        <f>'Cashflow statement'!F57</f>
        <v>-91</v>
      </c>
      <c r="G31" s="9">
        <f>'Cashflow statement'!G57</f>
        <v>-5</v>
      </c>
      <c r="H31" s="41">
        <f>H16*H33</f>
        <v>-20.301832932428876</v>
      </c>
      <c r="I31" s="41">
        <f t="shared" ref="I31:L31" si="6">I16*I33</f>
        <v>-21.152288516029298</v>
      </c>
      <c r="J31" s="41">
        <f t="shared" si="6"/>
        <v>-22.243350767588801</v>
      </c>
      <c r="K31" s="41">
        <f t="shared" si="6"/>
        <v>-23.637228317374465</v>
      </c>
      <c r="L31" s="41">
        <f t="shared" si="6"/>
        <v>-25.418372956615194</v>
      </c>
    </row>
    <row r="32" spans="2:12" x14ac:dyDescent="0.3">
      <c r="C32" s="9"/>
      <c r="D32" s="9"/>
      <c r="E32" s="9"/>
      <c r="F32" s="9"/>
      <c r="G32" s="9"/>
      <c r="H32" s="9"/>
      <c r="I32" s="9"/>
      <c r="J32" s="9"/>
      <c r="K32" s="9"/>
      <c r="L32" s="9"/>
    </row>
    <row r="33" spans="2:12" x14ac:dyDescent="0.3">
      <c r="B33" t="s">
        <v>241</v>
      </c>
      <c r="C33" s="9"/>
      <c r="D33" s="38">
        <f>D31/D16</f>
        <v>-8.8235294117647058E-3</v>
      </c>
      <c r="E33" s="38">
        <f t="shared" ref="E33:G33" si="7">E31/E16</f>
        <v>0</v>
      </c>
      <c r="F33" s="38">
        <f t="shared" si="7"/>
        <v>-0.19238900634249473</v>
      </c>
      <c r="G33" s="38">
        <f t="shared" si="7"/>
        <v>-1.3054830287206266E-2</v>
      </c>
      <c r="H33" s="62">
        <f>AVERAGE(C33:G33)</f>
        <v>-5.3566841510366427E-2</v>
      </c>
      <c r="I33" s="62">
        <v>-5.3566841510366427E-2</v>
      </c>
      <c r="J33" s="62">
        <v>-5.3566841510366427E-2</v>
      </c>
      <c r="K33" s="62">
        <v>-5.3566841510366427E-2</v>
      </c>
      <c r="L33" s="62">
        <v>-5.3566841510366427E-2</v>
      </c>
    </row>
    <row r="34" spans="2:12" x14ac:dyDescent="0.3">
      <c r="C34" s="9"/>
      <c r="D34" s="9"/>
      <c r="E34" s="9"/>
      <c r="F34" s="9"/>
      <c r="G34" s="9"/>
      <c r="H34" s="9"/>
      <c r="I34" s="9"/>
      <c r="J34" s="9"/>
      <c r="K34" s="9"/>
      <c r="L34" s="9"/>
    </row>
    <row r="35" spans="2:12" x14ac:dyDescent="0.3">
      <c r="B35" s="54" t="s">
        <v>245</v>
      </c>
      <c r="C35" s="55"/>
      <c r="D35" s="55"/>
      <c r="E35" s="55"/>
      <c r="F35" s="55"/>
      <c r="G35" s="55"/>
      <c r="H35" s="55"/>
      <c r="I35" s="55"/>
      <c r="J35" s="55"/>
      <c r="K35" s="55"/>
      <c r="L35" s="55"/>
    </row>
    <row r="36" spans="2:12" x14ac:dyDescent="0.3">
      <c r="C36" s="9"/>
      <c r="D36" s="9"/>
      <c r="E36" s="9"/>
      <c r="F36" s="9"/>
      <c r="G36" s="9"/>
      <c r="H36" s="9"/>
      <c r="I36" s="9"/>
      <c r="J36" s="9"/>
      <c r="K36" s="9"/>
      <c r="L36" s="9"/>
    </row>
    <row r="37" spans="2:12" x14ac:dyDescent="0.3">
      <c r="B37" t="s">
        <v>246</v>
      </c>
      <c r="C37" s="9">
        <f>'Income statement'!C23</f>
        <v>34</v>
      </c>
      <c r="D37" s="9">
        <f>'Income statement'!D23</f>
        <v>39</v>
      </c>
      <c r="E37" s="9">
        <f>'Income statement'!E23</f>
        <v>56</v>
      </c>
      <c r="F37" s="9">
        <f>'Income statement'!F23</f>
        <v>73</v>
      </c>
      <c r="G37" s="9">
        <f>'Income statement'!G23</f>
        <v>53</v>
      </c>
      <c r="H37" s="41">
        <f>H45*H39</f>
        <v>58.849927343030551</v>
      </c>
      <c r="I37" s="41">
        <f t="shared" ref="I37:L37" si="8">I45*I39</f>
        <v>61.60618364619264</v>
      </c>
      <c r="J37" s="41">
        <f t="shared" si="8"/>
        <v>65.133903488061506</v>
      </c>
      <c r="K37" s="41">
        <f t="shared" si="8"/>
        <v>69.641291863642735</v>
      </c>
      <c r="L37" s="41">
        <f t="shared" si="8"/>
        <v>75.413253040135999</v>
      </c>
    </row>
    <row r="38" spans="2:12" x14ac:dyDescent="0.3">
      <c r="C38" s="9"/>
      <c r="D38" s="9"/>
      <c r="E38" s="9"/>
      <c r="F38" s="9"/>
      <c r="G38" s="9"/>
      <c r="H38" s="9"/>
      <c r="I38" s="9"/>
      <c r="J38" s="9"/>
      <c r="K38" s="9"/>
      <c r="L38" s="9"/>
    </row>
    <row r="39" spans="2:12" x14ac:dyDescent="0.3">
      <c r="B39" t="s">
        <v>247</v>
      </c>
      <c r="C39" s="38">
        <f>C37/C41</f>
        <v>0.2</v>
      </c>
      <c r="D39" s="38">
        <f t="shared" ref="D39:G39" si="9">D37/D41</f>
        <v>0.11386861313868613</v>
      </c>
      <c r="E39" s="38">
        <f t="shared" si="9"/>
        <v>0.13691931540342298</v>
      </c>
      <c r="F39" s="38">
        <f t="shared" si="9"/>
        <v>0.17056074766355139</v>
      </c>
      <c r="G39" s="38">
        <f t="shared" si="9"/>
        <v>0.13910761154855644</v>
      </c>
      <c r="H39" s="62">
        <f>AVERAGE(C39:G39)</f>
        <v>0.15209125755084341</v>
      </c>
      <c r="I39" s="62">
        <v>0.15209125755084341</v>
      </c>
      <c r="J39" s="62">
        <v>0.15209125755084341</v>
      </c>
      <c r="K39" s="62">
        <v>0.15209125755084341</v>
      </c>
      <c r="L39" s="62">
        <v>0.15209125755084341</v>
      </c>
    </row>
    <row r="40" spans="2:12" x14ac:dyDescent="0.3">
      <c r="C40" s="9"/>
      <c r="D40" s="9"/>
      <c r="E40" s="9"/>
      <c r="F40" s="9"/>
      <c r="G40" s="9"/>
      <c r="H40" s="9"/>
      <c r="I40" s="9"/>
      <c r="J40" s="9"/>
      <c r="K40" s="9"/>
      <c r="L40" s="9"/>
    </row>
    <row r="41" spans="2:12" x14ac:dyDescent="0.3">
      <c r="B41" t="s">
        <v>248</v>
      </c>
      <c r="C41" s="9">
        <f>C45</f>
        <v>170</v>
      </c>
      <c r="D41" s="9">
        <f t="shared" ref="D41:L41" si="10">D45</f>
        <v>342.5</v>
      </c>
      <c r="E41" s="9">
        <f t="shared" si="10"/>
        <v>409</v>
      </c>
      <c r="F41" s="9">
        <f t="shared" si="10"/>
        <v>428</v>
      </c>
      <c r="G41" s="9">
        <f t="shared" si="10"/>
        <v>381</v>
      </c>
      <c r="H41" s="9">
        <f t="shared" si="10"/>
        <v>386.93826516200176</v>
      </c>
      <c r="I41" s="9">
        <f t="shared" si="10"/>
        <v>405.06065002189871</v>
      </c>
      <c r="J41" s="9">
        <f t="shared" si="10"/>
        <v>428.25540755547729</v>
      </c>
      <c r="K41" s="9">
        <f t="shared" si="10"/>
        <v>457.89148557971504</v>
      </c>
      <c r="L41" s="9">
        <f t="shared" si="10"/>
        <v>495.84212961698802</v>
      </c>
    </row>
    <row r="42" spans="2:12" x14ac:dyDescent="0.3">
      <c r="C42" s="9"/>
      <c r="D42" s="9"/>
      <c r="E42" s="9"/>
      <c r="F42" s="9"/>
      <c r="G42" s="9"/>
      <c r="H42" s="9"/>
      <c r="I42" s="9"/>
      <c r="J42" s="9"/>
      <c r="K42" s="9"/>
      <c r="L42" s="9"/>
    </row>
    <row r="43" spans="2:12" x14ac:dyDescent="0.3">
      <c r="B43" s="1" t="s">
        <v>249</v>
      </c>
      <c r="C43" s="41">
        <f>C16</f>
        <v>0</v>
      </c>
      <c r="D43" s="41">
        <f t="shared" ref="D43:L43" si="11">D16</f>
        <v>340</v>
      </c>
      <c r="E43" s="41">
        <f t="shared" si="11"/>
        <v>345</v>
      </c>
      <c r="F43" s="41">
        <f t="shared" si="11"/>
        <v>473</v>
      </c>
      <c r="G43" s="41">
        <f t="shared" si="11"/>
        <v>383</v>
      </c>
      <c r="H43" s="41">
        <f t="shared" si="11"/>
        <v>379</v>
      </c>
      <c r="I43" s="41">
        <f t="shared" si="11"/>
        <v>394.87653032400351</v>
      </c>
      <c r="J43" s="41">
        <f t="shared" si="11"/>
        <v>415.24476971979385</v>
      </c>
      <c r="K43" s="41">
        <f t="shared" si="11"/>
        <v>441.26604539116073</v>
      </c>
      <c r="L43" s="41">
        <f t="shared" si="11"/>
        <v>474.51692576826935</v>
      </c>
    </row>
    <row r="44" spans="2:12" x14ac:dyDescent="0.3">
      <c r="B44" s="1" t="s">
        <v>250</v>
      </c>
      <c r="C44" s="41">
        <f>C20</f>
        <v>340</v>
      </c>
      <c r="D44" s="41">
        <f t="shared" ref="D44:L44" si="12">D20</f>
        <v>345</v>
      </c>
      <c r="E44" s="41">
        <f t="shared" si="12"/>
        <v>473</v>
      </c>
      <c r="F44" s="41">
        <f t="shared" si="12"/>
        <v>383</v>
      </c>
      <c r="G44" s="41">
        <f t="shared" si="12"/>
        <v>379</v>
      </c>
      <c r="H44" s="41">
        <f t="shared" si="12"/>
        <v>394.87653032400351</v>
      </c>
      <c r="I44" s="41">
        <f t="shared" si="12"/>
        <v>415.24476971979385</v>
      </c>
      <c r="J44" s="41">
        <f t="shared" si="12"/>
        <v>441.26604539116073</v>
      </c>
      <c r="K44" s="41">
        <f t="shared" si="12"/>
        <v>474.51692576826935</v>
      </c>
      <c r="L44" s="41">
        <f t="shared" si="12"/>
        <v>517.16733346570675</v>
      </c>
    </row>
    <row r="45" spans="2:12" x14ac:dyDescent="0.3">
      <c r="B45" s="1" t="s">
        <v>248</v>
      </c>
      <c r="C45" s="41">
        <f>AVERAGE(C43:C44)</f>
        <v>170</v>
      </c>
      <c r="D45" s="41">
        <f t="shared" ref="D45:L45" si="13">AVERAGE(D43:D44)</f>
        <v>342.5</v>
      </c>
      <c r="E45" s="41">
        <f t="shared" si="13"/>
        <v>409</v>
      </c>
      <c r="F45" s="41">
        <f t="shared" si="13"/>
        <v>428</v>
      </c>
      <c r="G45" s="41">
        <f t="shared" si="13"/>
        <v>381</v>
      </c>
      <c r="H45" s="41">
        <f t="shared" si="13"/>
        <v>386.93826516200176</v>
      </c>
      <c r="I45" s="41">
        <f t="shared" si="13"/>
        <v>405.06065002189871</v>
      </c>
      <c r="J45" s="41">
        <f t="shared" si="13"/>
        <v>428.25540755547729</v>
      </c>
      <c r="K45" s="41">
        <f t="shared" si="13"/>
        <v>457.89148557971504</v>
      </c>
      <c r="L45" s="41">
        <f t="shared" si="13"/>
        <v>495.84212961698802</v>
      </c>
    </row>
    <row r="46" spans="2:12" x14ac:dyDescent="0.3">
      <c r="C46" s="9"/>
      <c r="D46" s="9"/>
      <c r="E46" s="9"/>
      <c r="F46" s="9"/>
      <c r="G46" s="9"/>
      <c r="H46" s="9"/>
      <c r="I46" s="9"/>
      <c r="J46" s="9"/>
      <c r="K46" s="9"/>
      <c r="L46" s="9"/>
    </row>
    <row r="47" spans="2:12" x14ac:dyDescent="0.3">
      <c r="C47" s="9"/>
      <c r="D47" s="9"/>
      <c r="E47" s="9"/>
      <c r="F47" s="9"/>
      <c r="G47" s="9"/>
      <c r="H47" s="9"/>
      <c r="I47" s="9"/>
      <c r="J47" s="9"/>
      <c r="K47" s="9"/>
      <c r="L47" s="9"/>
    </row>
    <row r="48" spans="2:12" x14ac:dyDescent="0.3">
      <c r="C48" s="9"/>
      <c r="D48" s="9"/>
      <c r="E48" s="9"/>
      <c r="F48" s="9"/>
      <c r="G48" s="9"/>
      <c r="H48" s="9"/>
      <c r="I48" s="9"/>
      <c r="J48" s="9"/>
      <c r="K48" s="9"/>
      <c r="L48" s="9"/>
    </row>
    <row r="49" spans="3:12" x14ac:dyDescent="0.3">
      <c r="C49" s="9"/>
      <c r="D49" s="9"/>
      <c r="E49" s="9"/>
      <c r="F49" s="9"/>
      <c r="G49" s="9"/>
      <c r="H49" s="9"/>
      <c r="I49" s="9"/>
      <c r="J49" s="9"/>
      <c r="K49" s="9"/>
      <c r="L49" s="9"/>
    </row>
    <row r="73" spans="3:12" x14ac:dyDescent="0.3">
      <c r="C73" s="7"/>
      <c r="D73" s="7"/>
      <c r="E73" s="7"/>
      <c r="F73" s="7"/>
      <c r="G73" s="7"/>
      <c r="H73" s="7"/>
      <c r="I73" s="7"/>
      <c r="J73" s="7"/>
      <c r="K73" s="7"/>
      <c r="L73" s="7"/>
    </row>
    <row r="74" spans="3:12" x14ac:dyDescent="0.3">
      <c r="C74" s="7"/>
      <c r="D74" s="7"/>
      <c r="E74" s="7"/>
      <c r="F74" s="7"/>
      <c r="G74" s="7"/>
      <c r="H74" s="7"/>
      <c r="I74" s="7"/>
      <c r="J74" s="7"/>
      <c r="K74" s="7"/>
      <c r="L74"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9714B-8CDA-42BA-9B88-51650E820338}">
  <dimension ref="B2:L75"/>
  <sheetViews>
    <sheetView topLeftCell="A37" zoomScale="86" workbookViewId="0">
      <selection activeCell="I51" sqref="I51"/>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3" spans="2:12" x14ac:dyDescent="0.3">
      <c r="B13" s="54" t="s">
        <v>254</v>
      </c>
      <c r="C13" s="55"/>
      <c r="D13" s="55"/>
      <c r="E13" s="55"/>
      <c r="F13" s="55"/>
      <c r="G13" s="55"/>
      <c r="H13" s="55"/>
      <c r="I13" s="55"/>
      <c r="J13" s="55"/>
      <c r="K13" s="55"/>
      <c r="L13" s="55"/>
    </row>
    <row r="14" spans="2:12" x14ac:dyDescent="0.3">
      <c r="H14" s="64">
        <f>H15-G15</f>
        <v>724.31659175011146</v>
      </c>
      <c r="I14" s="64">
        <f t="shared" ref="I14:L14" si="0">I15-H15</f>
        <v>-205.30063372471477</v>
      </c>
      <c r="J14" s="64">
        <f t="shared" si="0"/>
        <v>750.51485614882131</v>
      </c>
      <c r="K14" s="64">
        <f t="shared" si="0"/>
        <v>-133.24781500607423</v>
      </c>
      <c r="L14" s="64">
        <f t="shared" si="0"/>
        <v>1186.0294715383661</v>
      </c>
    </row>
    <row r="15" spans="2:12" x14ac:dyDescent="0.3">
      <c r="B15" s="2" t="s">
        <v>251</v>
      </c>
      <c r="C15">
        <f>'Balance Sheet'!C34</f>
        <v>1126</v>
      </c>
      <c r="D15">
        <f>'Balance Sheet'!D34</f>
        <v>1412</v>
      </c>
      <c r="E15">
        <f>'Balance Sheet'!E34</f>
        <v>1225</v>
      </c>
      <c r="F15">
        <f>'Balance Sheet'!F34</f>
        <v>1336</v>
      </c>
      <c r="G15">
        <f>'Balance Sheet'!G34</f>
        <v>1235</v>
      </c>
      <c r="H15" s="64">
        <f>H17*2-G15</f>
        <v>1959.3165917501115</v>
      </c>
      <c r="I15" s="64">
        <f>I17*2-H15</f>
        <v>1754.0159580253967</v>
      </c>
      <c r="J15" s="64">
        <f>J17*2-I15</f>
        <v>2504.530814174218</v>
      </c>
      <c r="K15" s="64">
        <f>K17*2-J15</f>
        <v>2371.2829991681438</v>
      </c>
      <c r="L15" s="64">
        <f>L17*2-K15</f>
        <v>3557.3124707065099</v>
      </c>
    </row>
    <row r="17" spans="2:12" x14ac:dyDescent="0.3">
      <c r="B17" s="1" t="s">
        <v>252</v>
      </c>
      <c r="D17">
        <f>AVERAGE(C15:D15)</f>
        <v>1269</v>
      </c>
      <c r="E17">
        <f>AVERAGE(D15:E15)</f>
        <v>1318.5</v>
      </c>
      <c r="F17">
        <f>AVERAGE(E15:F15)</f>
        <v>1280.5</v>
      </c>
      <c r="G17">
        <f>AVERAGE(F15:G15)</f>
        <v>1285.5</v>
      </c>
      <c r="H17" s="53">
        <f>H19/H21</f>
        <v>1597.1582958750557</v>
      </c>
      <c r="I17" s="53">
        <f t="shared" ref="I17:L17" si="1">I19/I21</f>
        <v>1856.6662748877541</v>
      </c>
      <c r="J17" s="53">
        <f t="shared" si="1"/>
        <v>2129.2733860998073</v>
      </c>
      <c r="K17" s="53">
        <f t="shared" si="1"/>
        <v>2437.9069066711809</v>
      </c>
      <c r="L17" s="53">
        <f t="shared" si="1"/>
        <v>2964.2977349373268</v>
      </c>
    </row>
    <row r="18" spans="2:12" x14ac:dyDescent="0.3">
      <c r="B18" s="1"/>
      <c r="H18" s="1"/>
      <c r="I18" s="1"/>
      <c r="J18" s="1"/>
      <c r="K18" s="1"/>
      <c r="L18" s="1"/>
    </row>
    <row r="19" spans="2:12" x14ac:dyDescent="0.3">
      <c r="B19" s="1" t="s">
        <v>15</v>
      </c>
      <c r="C19">
        <f>'Income statement'!C21</f>
        <v>4270</v>
      </c>
      <c r="D19">
        <f>'Income statement'!D21</f>
        <v>5436</v>
      </c>
      <c r="E19">
        <f>'Income statement'!E21</f>
        <v>5351</v>
      </c>
      <c r="F19">
        <f>'Income statement'!F21</f>
        <v>4748</v>
      </c>
      <c r="G19">
        <f>'Income statement'!G21</f>
        <v>5388</v>
      </c>
      <c r="H19" s="53">
        <f>'Income statement'!H21</f>
        <v>6485.0134846896708</v>
      </c>
      <c r="I19" s="53">
        <f>'Income statement'!I21</f>
        <v>7435.0369841623733</v>
      </c>
      <c r="J19" s="53">
        <f>'Income statement'!J21</f>
        <v>8498.0076844201412</v>
      </c>
      <c r="K19" s="53">
        <f>'Income statement'!K21</f>
        <v>9902.3241797893006</v>
      </c>
      <c r="L19" s="53">
        <f>'Income statement'!L21</f>
        <v>11944.418596247066</v>
      </c>
    </row>
    <row r="20" spans="2:12" x14ac:dyDescent="0.3">
      <c r="B20" s="1"/>
      <c r="H20" s="1"/>
      <c r="I20" s="1"/>
      <c r="J20" s="1"/>
      <c r="K20" s="1"/>
      <c r="L20" s="1"/>
    </row>
    <row r="21" spans="2:12" x14ac:dyDescent="0.3">
      <c r="B21" s="1" t="s">
        <v>177</v>
      </c>
      <c r="D21" s="9">
        <f>D19/D17</f>
        <v>4.2836879432624118</v>
      </c>
      <c r="E21" s="9">
        <f t="shared" ref="E21:G21" si="2">E19/E17</f>
        <v>4.0583996966249529</v>
      </c>
      <c r="F21" s="9">
        <f t="shared" si="2"/>
        <v>3.7079265911753221</v>
      </c>
      <c r="G21" s="9">
        <f t="shared" si="2"/>
        <v>4.191365227537923</v>
      </c>
      <c r="H21" s="65">
        <f>AVERAGE(D21:G21)</f>
        <v>4.0603448646501521</v>
      </c>
      <c r="I21" s="65">
        <f t="shared" ref="I21:L21" si="3">AVERAGE(E21:H21)</f>
        <v>4.0045090949970872</v>
      </c>
      <c r="J21" s="65">
        <f t="shared" si="3"/>
        <v>3.9910364445901205</v>
      </c>
      <c r="K21" s="65">
        <f t="shared" si="3"/>
        <v>4.0618139079438205</v>
      </c>
      <c r="L21" s="65">
        <f t="shared" si="3"/>
        <v>4.0294260780452955</v>
      </c>
    </row>
    <row r="22" spans="2:12" x14ac:dyDescent="0.3">
      <c r="B22" s="1"/>
      <c r="H22" s="1"/>
      <c r="I22" s="1"/>
      <c r="J22" s="1"/>
      <c r="K22" s="1"/>
      <c r="L22" s="1"/>
    </row>
    <row r="23" spans="2:12" x14ac:dyDescent="0.3">
      <c r="B23" s="1" t="s">
        <v>253</v>
      </c>
      <c r="D23" s="64">
        <f t="shared" ref="D23:G23" si="4">365/D21</f>
        <v>85.206953642384093</v>
      </c>
      <c r="E23" s="64">
        <f t="shared" si="4"/>
        <v>89.936927677069704</v>
      </c>
      <c r="F23" s="64">
        <f t="shared" si="4"/>
        <v>98.437763268744732</v>
      </c>
      <c r="G23" s="64">
        <f t="shared" si="4"/>
        <v>87.083797327394208</v>
      </c>
      <c r="H23" s="53">
        <f>365/H21</f>
        <v>89.893842066897733</v>
      </c>
      <c r="I23" s="53">
        <f t="shared" ref="I23:L23" si="5">365/I21</f>
        <v>91.147252095394606</v>
      </c>
      <c r="J23" s="53">
        <f t="shared" si="5"/>
        <v>91.454940356347834</v>
      </c>
      <c r="K23" s="53">
        <f t="shared" si="5"/>
        <v>89.861330004842841</v>
      </c>
      <c r="L23" s="53">
        <f t="shared" si="5"/>
        <v>90.583619833290058</v>
      </c>
    </row>
    <row r="25" spans="2:12" x14ac:dyDescent="0.3">
      <c r="B25" s="54" t="s">
        <v>255</v>
      </c>
      <c r="C25" s="55"/>
      <c r="D25" s="55"/>
      <c r="E25" s="55"/>
      <c r="F25" s="55"/>
      <c r="G25" s="55"/>
      <c r="H25" s="55"/>
      <c r="I25" s="55"/>
      <c r="J25" s="55"/>
      <c r="K25" s="55"/>
      <c r="L25" s="55"/>
    </row>
    <row r="26" spans="2:12" x14ac:dyDescent="0.3">
      <c r="H26" s="53">
        <f>H27-G27</f>
        <v>-516.78630372557859</v>
      </c>
      <c r="I26" s="53">
        <f t="shared" ref="I26:L26" si="6">I27-H27</f>
        <v>1153.7843967961148</v>
      </c>
      <c r="J26" s="53">
        <f t="shared" si="6"/>
        <v>-637.14118450192518</v>
      </c>
      <c r="K26" s="53">
        <f t="shared" si="6"/>
        <v>1112.3215536655946</v>
      </c>
      <c r="L26" s="53">
        <f t="shared" si="6"/>
        <v>-526.09203070900185</v>
      </c>
    </row>
    <row r="27" spans="2:12" x14ac:dyDescent="0.3">
      <c r="B27" s="2" t="s">
        <v>256</v>
      </c>
      <c r="C27">
        <f>'Balance Sheet'!C37</f>
        <v>388</v>
      </c>
      <c r="D27">
        <f>'Balance Sheet'!D37</f>
        <v>652</v>
      </c>
      <c r="E27">
        <f>'Balance Sheet'!E37</f>
        <v>1015</v>
      </c>
      <c r="F27">
        <f>'Balance Sheet'!F37</f>
        <v>1069</v>
      </c>
      <c r="G27">
        <f>'Balance Sheet'!G37</f>
        <v>1271</v>
      </c>
      <c r="H27" s="53">
        <f>H29*2-G27</f>
        <v>754.21369627442141</v>
      </c>
      <c r="I27" s="53">
        <f t="shared" ref="I27:L27" si="7">I29*2-H27</f>
        <v>1907.9980930705362</v>
      </c>
      <c r="J27" s="53">
        <f t="shared" si="7"/>
        <v>1270.8569085686111</v>
      </c>
      <c r="K27" s="53">
        <f t="shared" si="7"/>
        <v>2383.1784622342057</v>
      </c>
      <c r="L27" s="53">
        <f t="shared" si="7"/>
        <v>1857.0864315252038</v>
      </c>
    </row>
    <row r="28" spans="2:12" x14ac:dyDescent="0.3">
      <c r="H28" s="1"/>
      <c r="I28" s="1"/>
      <c r="J28" s="1"/>
      <c r="K28" s="1"/>
      <c r="L28" s="1"/>
    </row>
    <row r="29" spans="2:12" x14ac:dyDescent="0.3">
      <c r="B29" s="1" t="s">
        <v>257</v>
      </c>
      <c r="D29">
        <f>AVERAGE(C27:D27)</f>
        <v>520</v>
      </c>
      <c r="E29">
        <f t="shared" ref="E29:G29" si="8">AVERAGE(D27:E27)</f>
        <v>833.5</v>
      </c>
      <c r="F29">
        <f t="shared" si="8"/>
        <v>1042</v>
      </c>
      <c r="G29">
        <f t="shared" si="8"/>
        <v>1170</v>
      </c>
      <c r="H29" s="53">
        <f>H31/H33</f>
        <v>1012.6068481372107</v>
      </c>
      <c r="I29" s="53">
        <f t="shared" ref="I29:L29" si="9">I31/I33</f>
        <v>1331.1058946724788</v>
      </c>
      <c r="J29" s="53">
        <f t="shared" si="9"/>
        <v>1589.4275008195737</v>
      </c>
      <c r="K29" s="53">
        <f t="shared" si="9"/>
        <v>1827.0176854014085</v>
      </c>
      <c r="L29" s="53">
        <f t="shared" si="9"/>
        <v>2120.1324468797047</v>
      </c>
    </row>
    <row r="30" spans="2:12" x14ac:dyDescent="0.3">
      <c r="B30" s="1"/>
      <c r="H30" s="1"/>
      <c r="I30" s="1"/>
      <c r="J30" s="1"/>
      <c r="K30" s="1"/>
      <c r="L30" s="1"/>
    </row>
    <row r="31" spans="2:12" x14ac:dyDescent="0.3">
      <c r="B31" s="1" t="s">
        <v>258</v>
      </c>
      <c r="C31">
        <f>'Income statement'!C14</f>
        <v>8048</v>
      </c>
      <c r="D31">
        <f>'Income statement'!D14</f>
        <v>9512</v>
      </c>
      <c r="E31">
        <f>'Income statement'!E14</f>
        <v>9764</v>
      </c>
      <c r="F31">
        <f>'Income statement'!F14</f>
        <v>9653</v>
      </c>
      <c r="G31">
        <f>'Income statement'!G14</f>
        <v>10831</v>
      </c>
      <c r="H31" s="53">
        <f>'Income statement'!H14</f>
        <v>12284.932435512275</v>
      </c>
      <c r="I31" s="53">
        <f>'Income statement'!I14</f>
        <v>14098.948492171397</v>
      </c>
      <c r="J31" s="53">
        <f>'Income statement'!J14</f>
        <v>16389.013251515476</v>
      </c>
      <c r="K31" s="53">
        <f>'Income statement'!K14</f>
        <v>19317.25232405444</v>
      </c>
      <c r="L31" s="53">
        <f>'Income statement'!L14</f>
        <v>23113.825392696977</v>
      </c>
    </row>
    <row r="32" spans="2:12" x14ac:dyDescent="0.3">
      <c r="B32" s="1"/>
      <c r="H32" s="1"/>
      <c r="I32" s="1"/>
      <c r="J32" s="1"/>
      <c r="K32" s="1"/>
      <c r="L32" s="1"/>
    </row>
    <row r="33" spans="2:12" x14ac:dyDescent="0.3">
      <c r="B33" s="1" t="s">
        <v>175</v>
      </c>
      <c r="D33" s="9">
        <f t="shared" ref="D33:G33" si="10">D31/D29</f>
        <v>18.292307692307691</v>
      </c>
      <c r="E33" s="9">
        <f t="shared" si="10"/>
        <v>11.714457108578284</v>
      </c>
      <c r="F33" s="9">
        <f t="shared" si="10"/>
        <v>9.2639155470249523</v>
      </c>
      <c r="G33" s="9">
        <f t="shared" si="10"/>
        <v>9.2572649572649581</v>
      </c>
      <c r="H33" s="65">
        <f>AVERAGE(D33:G33)</f>
        <v>12.131986326293971</v>
      </c>
      <c r="I33" s="65">
        <f t="shared" ref="I33:L33" si="11">AVERAGE(E33:H33)</f>
        <v>10.591905984790541</v>
      </c>
      <c r="J33" s="65">
        <f t="shared" si="11"/>
        <v>10.311268203843605</v>
      </c>
      <c r="K33" s="65">
        <f t="shared" si="11"/>
        <v>10.573106368048268</v>
      </c>
      <c r="L33" s="65">
        <f t="shared" si="11"/>
        <v>10.902066720744095</v>
      </c>
    </row>
    <row r="34" spans="2:12" x14ac:dyDescent="0.3">
      <c r="B34" s="1"/>
      <c r="H34" s="1"/>
      <c r="I34" s="1"/>
      <c r="J34" s="1"/>
      <c r="K34" s="1"/>
      <c r="L34" s="1"/>
    </row>
    <row r="35" spans="2:12" x14ac:dyDescent="0.3">
      <c r="B35" s="1" t="s">
        <v>259</v>
      </c>
      <c r="D35" s="64">
        <f t="shared" ref="D35:G35" si="12">365/D33</f>
        <v>19.953742640874687</v>
      </c>
      <c r="E35" s="64">
        <f t="shared" si="12"/>
        <v>31.158080704629253</v>
      </c>
      <c r="F35" s="64">
        <f t="shared" si="12"/>
        <v>39.400186470527295</v>
      </c>
      <c r="G35" s="64">
        <f t="shared" si="12"/>
        <v>39.428492290647213</v>
      </c>
      <c r="H35" s="53">
        <f>365/H33</f>
        <v>30.085757614886688</v>
      </c>
      <c r="I35" s="53">
        <f t="shared" ref="I35:L35" si="13">365/I33</f>
        <v>34.460275659935249</v>
      </c>
      <c r="J35" s="53">
        <f t="shared" si="13"/>
        <v>35.398167595324836</v>
      </c>
      <c r="K35" s="53">
        <f t="shared" si="13"/>
        <v>34.521548095176954</v>
      </c>
      <c r="L35" s="53">
        <f t="shared" si="13"/>
        <v>33.479890496862396</v>
      </c>
    </row>
    <row r="36" spans="2:12" x14ac:dyDescent="0.3">
      <c r="H36" s="1"/>
      <c r="I36" s="1"/>
      <c r="J36" s="1"/>
      <c r="K36" s="1"/>
      <c r="L36" s="1"/>
    </row>
    <row r="37" spans="2:12" x14ac:dyDescent="0.3">
      <c r="B37" s="54" t="s">
        <v>260</v>
      </c>
      <c r="C37" s="55"/>
      <c r="D37" s="55"/>
      <c r="E37" s="55"/>
      <c r="F37" s="55"/>
      <c r="G37" s="55"/>
      <c r="H37" s="55"/>
      <c r="I37" s="55"/>
      <c r="J37" s="55"/>
      <c r="K37" s="55"/>
      <c r="L37" s="55"/>
    </row>
    <row r="38" spans="2:12" x14ac:dyDescent="0.3">
      <c r="H38" s="64">
        <f>H39-G39</f>
        <v>537.1143166310485</v>
      </c>
      <c r="I38" s="64">
        <f t="shared" ref="I38:L38" si="14">I39-H39</f>
        <v>-59.083655695012567</v>
      </c>
      <c r="J38" s="64">
        <f t="shared" si="14"/>
        <v>593.94683190264732</v>
      </c>
      <c r="K38" s="64">
        <f t="shared" si="14"/>
        <v>112.67394412793874</v>
      </c>
      <c r="L38" s="64">
        <f t="shared" si="14"/>
        <v>914.86247379741963</v>
      </c>
    </row>
    <row r="39" spans="2:12" x14ac:dyDescent="0.3">
      <c r="B39" s="2" t="s">
        <v>260</v>
      </c>
      <c r="C39">
        <f>C54</f>
        <v>1134</v>
      </c>
      <c r="D39">
        <f>D54</f>
        <v>1344</v>
      </c>
      <c r="E39">
        <f>E54</f>
        <v>1452</v>
      </c>
      <c r="F39">
        <f>F54</f>
        <v>1581</v>
      </c>
      <c r="G39">
        <f>G54</f>
        <v>1363</v>
      </c>
      <c r="H39" s="53">
        <f>H41*2-G39</f>
        <v>1900.1143166310485</v>
      </c>
      <c r="I39" s="53">
        <f t="shared" ref="I39:L39" si="15">I41*2-H39</f>
        <v>1841.0306609360359</v>
      </c>
      <c r="J39" s="53">
        <f t="shared" si="15"/>
        <v>2434.9774928386832</v>
      </c>
      <c r="K39" s="53">
        <f t="shared" si="15"/>
        <v>2547.651436966622</v>
      </c>
      <c r="L39" s="53">
        <f t="shared" si="15"/>
        <v>3462.5139107640416</v>
      </c>
    </row>
    <row r="40" spans="2:12" x14ac:dyDescent="0.3">
      <c r="H40" s="1"/>
      <c r="I40" s="1"/>
      <c r="J40" s="1"/>
      <c r="K40" s="1"/>
      <c r="L40" s="1"/>
    </row>
    <row r="41" spans="2:12" x14ac:dyDescent="0.3">
      <c r="B41" s="33" t="s">
        <v>261</v>
      </c>
      <c r="D41">
        <f>AVERAGE(C39:D39)</f>
        <v>1239</v>
      </c>
      <c r="E41">
        <f t="shared" ref="E41:F41" si="16">AVERAGE(D39:E39)</f>
        <v>1398</v>
      </c>
      <c r="F41">
        <f t="shared" si="16"/>
        <v>1516.5</v>
      </c>
      <c r="G41">
        <f>AVERAGE(F39:G39)</f>
        <v>1472</v>
      </c>
      <c r="H41" s="53">
        <f>H43/H45</f>
        <v>1631.5571583155242</v>
      </c>
      <c r="I41" s="53">
        <f t="shared" ref="I41:L41" si="17">I43/I45</f>
        <v>1870.5724887835422</v>
      </c>
      <c r="J41" s="53">
        <f t="shared" si="17"/>
        <v>2138.0040768873596</v>
      </c>
      <c r="K41" s="53">
        <f t="shared" si="17"/>
        <v>2491.3144649026526</v>
      </c>
      <c r="L41" s="53">
        <f t="shared" si="17"/>
        <v>3005.0826738653318</v>
      </c>
    </row>
    <row r="42" spans="2:12" x14ac:dyDescent="0.3">
      <c r="B42" s="30"/>
      <c r="H42" s="1"/>
      <c r="I42" s="1"/>
      <c r="J42" s="1"/>
      <c r="K42" s="1"/>
      <c r="L42" s="1"/>
    </row>
    <row r="43" spans="2:12" x14ac:dyDescent="0.3">
      <c r="B43" s="33" t="s">
        <v>262</v>
      </c>
      <c r="C43">
        <f>'Income statement'!C19</f>
        <v>339</v>
      </c>
      <c r="D43">
        <f>'Income statement'!D19</f>
        <v>491</v>
      </c>
      <c r="E43">
        <f>'Income statement'!E19</f>
        <v>541</v>
      </c>
      <c r="F43">
        <f>'Income statement'!F19</f>
        <v>752</v>
      </c>
      <c r="G43" s="64">
        <f>'Income statement'!G19</f>
        <v>960</v>
      </c>
      <c r="H43" s="53">
        <f>'Income statement'!H19</f>
        <v>787.76527770548603</v>
      </c>
      <c r="I43" s="53">
        <f>'Income statement'!I19</f>
        <v>903.16912808385814</v>
      </c>
      <c r="J43" s="53">
        <f>'Income statement'!J19</f>
        <v>1032.2932094536638</v>
      </c>
      <c r="K43" s="53">
        <f>'Income statement'!K19</f>
        <v>1202.8821799427233</v>
      </c>
      <c r="L43" s="53">
        <f>'Income statement'!L19</f>
        <v>1450.9450527308215</v>
      </c>
    </row>
    <row r="44" spans="2:12" x14ac:dyDescent="0.3">
      <c r="B44" s="33"/>
      <c r="H44" s="1"/>
      <c r="I44" s="1"/>
      <c r="J44" s="1"/>
      <c r="K44" s="1"/>
      <c r="L44" s="1"/>
    </row>
    <row r="45" spans="2:12" x14ac:dyDescent="0.3">
      <c r="B45" s="33" t="s">
        <v>176</v>
      </c>
      <c r="D45" s="9">
        <f t="shared" ref="D45:G45" si="18">D43/D41</f>
        <v>0.39628732849071829</v>
      </c>
      <c r="E45" s="9">
        <f t="shared" si="18"/>
        <v>0.38698140200286124</v>
      </c>
      <c r="F45" s="9">
        <f t="shared" si="18"/>
        <v>0.4958786679854929</v>
      </c>
      <c r="G45" s="9">
        <f t="shared" si="18"/>
        <v>0.65217391304347827</v>
      </c>
      <c r="H45" s="65">
        <f>AVERAGE(D45:G45)</f>
        <v>0.48283032788063768</v>
      </c>
      <c r="I45" s="65">
        <v>0.48283032788063768</v>
      </c>
      <c r="J45" s="65">
        <v>0.48283032788063768</v>
      </c>
      <c r="K45" s="65">
        <v>0.48283032788063768</v>
      </c>
      <c r="L45" s="65">
        <v>0.48283032788063768</v>
      </c>
    </row>
    <row r="46" spans="2:12" x14ac:dyDescent="0.3">
      <c r="B46" s="33"/>
      <c r="H46" s="1"/>
      <c r="I46" s="1"/>
      <c r="J46" s="1"/>
      <c r="K46" s="1"/>
      <c r="L46" s="1"/>
    </row>
    <row r="47" spans="2:12" x14ac:dyDescent="0.3">
      <c r="B47" s="33" t="s">
        <v>263</v>
      </c>
      <c r="D47" s="64">
        <f t="shared" ref="D47:G47" si="19">365/D45</f>
        <v>921.04887983706726</v>
      </c>
      <c r="E47" s="64">
        <f t="shared" si="19"/>
        <v>943.19778188539738</v>
      </c>
      <c r="F47" s="64">
        <f t="shared" si="19"/>
        <v>736.06715425531911</v>
      </c>
      <c r="G47" s="64">
        <f t="shared" si="19"/>
        <v>559.66666666666663</v>
      </c>
      <c r="H47" s="53">
        <f>365/H45</f>
        <v>755.959141179369</v>
      </c>
      <c r="I47" s="53">
        <f t="shared" ref="I47:L47" si="20">365/I45</f>
        <v>755.959141179369</v>
      </c>
      <c r="J47" s="53">
        <f t="shared" si="20"/>
        <v>755.959141179369</v>
      </c>
      <c r="K47" s="53">
        <f t="shared" si="20"/>
        <v>755.959141179369</v>
      </c>
      <c r="L47" s="53">
        <f t="shared" si="20"/>
        <v>755.959141179369</v>
      </c>
    </row>
    <row r="48" spans="2:12" x14ac:dyDescent="0.3">
      <c r="B48" s="30"/>
    </row>
    <row r="49" spans="2:12" x14ac:dyDescent="0.3">
      <c r="B49" s="33" t="s">
        <v>264</v>
      </c>
    </row>
    <row r="50" spans="2:12" x14ac:dyDescent="0.3">
      <c r="B50" s="30"/>
    </row>
    <row r="51" spans="2:12" ht="28.8" x14ac:dyDescent="0.3">
      <c r="B51" s="66" t="s">
        <v>265</v>
      </c>
      <c r="C51">
        <f>'Balance Sheet'!C76</f>
        <v>50</v>
      </c>
      <c r="D51">
        <f>'Balance Sheet'!D76</f>
        <v>76</v>
      </c>
      <c r="E51">
        <f>'Balance Sheet'!E76</f>
        <v>68</v>
      </c>
      <c r="F51">
        <f>'Balance Sheet'!F76</f>
        <v>71</v>
      </c>
      <c r="G51">
        <f>'Balance Sheet'!G76</f>
        <v>89</v>
      </c>
      <c r="H51" s="53">
        <f>H54*H58</f>
        <v>97.923041256342415</v>
      </c>
      <c r="I51" s="53">
        <f>I54*I58</f>
        <v>94.878144850079678</v>
      </c>
      <c r="J51" s="53">
        <f t="shared" ref="J51:L51" si="21">J54*J58</f>
        <v>125.48739799627874</v>
      </c>
      <c r="K51" s="53">
        <f t="shared" si="21"/>
        <v>131.29408824790394</v>
      </c>
      <c r="L51" s="53">
        <f t="shared" si="21"/>
        <v>178.44183877082125</v>
      </c>
    </row>
    <row r="52" spans="2:12" ht="28.8" x14ac:dyDescent="0.3">
      <c r="B52" s="66" t="s">
        <v>266</v>
      </c>
      <c r="C52">
        <f>'Balance Sheet'!C77</f>
        <v>1084</v>
      </c>
      <c r="D52">
        <f>'Balance Sheet'!D77</f>
        <v>1268</v>
      </c>
      <c r="E52">
        <f>'Balance Sheet'!E77</f>
        <v>1384</v>
      </c>
      <c r="F52">
        <f>'Balance Sheet'!F77</f>
        <v>1510</v>
      </c>
      <c r="G52">
        <f>'Balance Sheet'!G77</f>
        <v>1274</v>
      </c>
      <c r="H52" s="53">
        <f>H54*H59</f>
        <v>1802.1912753747063</v>
      </c>
      <c r="I52" s="53">
        <f t="shared" ref="I52:L52" si="22">I54*I59</f>
        <v>1746.1525160859562</v>
      </c>
      <c r="J52" s="53">
        <f t="shared" si="22"/>
        <v>2309.4900948424047</v>
      </c>
      <c r="K52" s="53">
        <f t="shared" si="22"/>
        <v>2416.3573487187182</v>
      </c>
      <c r="L52" s="53">
        <f t="shared" si="22"/>
        <v>3284.0720719932206</v>
      </c>
    </row>
    <row r="53" spans="2:12" x14ac:dyDescent="0.3">
      <c r="B53" s="30"/>
      <c r="H53" s="1"/>
      <c r="I53" s="1"/>
      <c r="J53" s="1"/>
      <c r="K53" s="1"/>
      <c r="L53" s="1"/>
    </row>
    <row r="54" spans="2:12" x14ac:dyDescent="0.3">
      <c r="B54" s="33" t="s">
        <v>267</v>
      </c>
      <c r="C54" s="69">
        <f>SUM(C51:C52)</f>
        <v>1134</v>
      </c>
      <c r="D54" s="69">
        <f>SUM(D51:D52)</f>
        <v>1344</v>
      </c>
      <c r="E54" s="69">
        <f>SUM(E51:E52)</f>
        <v>1452</v>
      </c>
      <c r="F54" s="69">
        <f>SUM(F51:F52)</f>
        <v>1581</v>
      </c>
      <c r="G54" s="69">
        <f>SUM(G51:G52)</f>
        <v>1363</v>
      </c>
      <c r="H54" s="70">
        <f>H39</f>
        <v>1900.1143166310485</v>
      </c>
      <c r="I54" s="70">
        <f t="shared" ref="I54:L54" si="23">I39</f>
        <v>1841.0306609360359</v>
      </c>
      <c r="J54" s="70">
        <f t="shared" si="23"/>
        <v>2434.9774928386832</v>
      </c>
      <c r="K54" s="70">
        <f t="shared" si="23"/>
        <v>2547.651436966622</v>
      </c>
      <c r="L54" s="70">
        <f t="shared" si="23"/>
        <v>3462.5139107640416</v>
      </c>
    </row>
    <row r="55" spans="2:12" x14ac:dyDescent="0.3">
      <c r="B55" s="30"/>
    </row>
    <row r="56" spans="2:12" x14ac:dyDescent="0.3">
      <c r="B56" s="33" t="s">
        <v>268</v>
      </c>
    </row>
    <row r="57" spans="2:12" x14ac:dyDescent="0.3">
      <c r="B57" s="30"/>
    </row>
    <row r="58" spans="2:12" ht="28.8" x14ac:dyDescent="0.3">
      <c r="B58" s="66" t="s">
        <v>265</v>
      </c>
      <c r="C58" s="38">
        <f>C51/C54</f>
        <v>4.4091710758377423E-2</v>
      </c>
      <c r="D58" s="38">
        <f>D51/D54</f>
        <v>5.6547619047619048E-2</v>
      </c>
      <c r="E58" s="38">
        <f>E51/E54</f>
        <v>4.6831955922865015E-2</v>
      </c>
      <c r="F58" s="38">
        <f>F51/F54</f>
        <v>4.4908285895003161E-2</v>
      </c>
      <c r="G58" s="38">
        <f>G51/G54</f>
        <v>6.5297138664710194E-2</v>
      </c>
      <c r="H58" s="67">
        <f>AVERAGE(C58:G58)</f>
        <v>5.153534205771497E-2</v>
      </c>
      <c r="I58" s="38">
        <v>5.153534205771497E-2</v>
      </c>
      <c r="J58" s="38">
        <v>5.153534205771497E-2</v>
      </c>
      <c r="K58" s="38">
        <v>5.153534205771497E-2</v>
      </c>
      <c r="L58" s="38">
        <v>5.153534205771497E-2</v>
      </c>
    </row>
    <row r="59" spans="2:12" ht="28.8" x14ac:dyDescent="0.3">
      <c r="B59" s="66" t="s">
        <v>266</v>
      </c>
      <c r="C59" s="38">
        <f>C52/C54</f>
        <v>0.95590828924162252</v>
      </c>
      <c r="D59" s="38">
        <f>D52/D54</f>
        <v>0.94345238095238093</v>
      </c>
      <c r="E59" s="38">
        <f>E52/E54</f>
        <v>0.95316804407713496</v>
      </c>
      <c r="F59" s="38">
        <f>F52/F54</f>
        <v>0.95509171410499683</v>
      </c>
      <c r="G59" s="38">
        <f>G52/G54</f>
        <v>0.93470286133528979</v>
      </c>
      <c r="H59" s="67">
        <f>AVERAGE(C59:G59)</f>
        <v>0.94846465794228507</v>
      </c>
      <c r="I59" s="38">
        <v>0.94846465794228507</v>
      </c>
      <c r="J59" s="38">
        <v>0.94846465794228507</v>
      </c>
      <c r="K59" s="38">
        <v>0.94846465794228507</v>
      </c>
      <c r="L59" s="38">
        <v>0.94846465794228507</v>
      </c>
    </row>
    <row r="60" spans="2:12" x14ac:dyDescent="0.3">
      <c r="B60" s="30"/>
      <c r="C60" s="51">
        <f>SUM(C58:C59)</f>
        <v>1</v>
      </c>
      <c r="D60" s="51">
        <f t="shared" ref="D60:G60" si="24">SUM(D58:D59)</f>
        <v>1</v>
      </c>
      <c r="E60" s="51">
        <f t="shared" si="24"/>
        <v>1</v>
      </c>
      <c r="F60" s="51">
        <f t="shared" si="24"/>
        <v>1</v>
      </c>
      <c r="G60" s="51">
        <f t="shared" si="24"/>
        <v>1</v>
      </c>
      <c r="H60" s="68">
        <f>AVERAGE(C60:G60)</f>
        <v>1</v>
      </c>
      <c r="I60" s="51">
        <v>1</v>
      </c>
      <c r="J60" s="51">
        <v>1</v>
      </c>
      <c r="K60" s="51">
        <v>1</v>
      </c>
      <c r="L60" s="51">
        <v>1</v>
      </c>
    </row>
    <row r="61" spans="2:12" x14ac:dyDescent="0.3">
      <c r="B61" s="33" t="s">
        <v>267</v>
      </c>
    </row>
    <row r="74" spans="3:12" x14ac:dyDescent="0.3">
      <c r="C74" s="7"/>
      <c r="D74" s="7"/>
      <c r="E74" s="7"/>
      <c r="F74" s="7"/>
      <c r="G74" s="7"/>
      <c r="H74" s="7"/>
      <c r="I74" s="7"/>
      <c r="J74" s="7"/>
      <c r="K74" s="7"/>
      <c r="L74" s="7"/>
    </row>
    <row r="75" spans="3:12" x14ac:dyDescent="0.3">
      <c r="C75" s="7"/>
      <c r="D75" s="7"/>
      <c r="E75" s="7"/>
      <c r="F75" s="7"/>
      <c r="G75" s="7"/>
      <c r="H75" s="7"/>
      <c r="I75" s="7"/>
      <c r="J75" s="7"/>
      <c r="K75" s="7"/>
      <c r="L75"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11422-CF83-42AB-8444-677927FD2431}">
  <dimension ref="B2:L70"/>
  <sheetViews>
    <sheetView topLeftCell="A19" zoomScale="91" workbookViewId="0">
      <selection activeCell="I64" sqref="I64"/>
    </sheetView>
  </sheetViews>
  <sheetFormatPr defaultRowHeight="14.4" x14ac:dyDescent="0.3"/>
  <cols>
    <col min="1" max="1" width="3.5546875" customWidth="1"/>
    <col min="2" max="2" width="48.77734375" bestFit="1" customWidth="1"/>
    <col min="3" max="3" width="16.109375" customWidth="1"/>
    <col min="4" max="4" width="13.5546875" customWidth="1"/>
    <col min="5" max="5" width="14.21875" customWidth="1"/>
    <col min="6" max="6" width="13.6640625" customWidth="1"/>
    <col min="7" max="7" width="12.44140625" customWidth="1"/>
    <col min="8" max="8" width="13.109375" customWidth="1"/>
    <col min="9" max="9" width="14.6640625" customWidth="1"/>
    <col min="10" max="10" width="13" customWidth="1"/>
    <col min="11" max="11" width="13.77734375" customWidth="1"/>
    <col min="12" max="12" width="16" customWidth="1"/>
    <col min="13" max="13" width="11.5546875" customWidth="1"/>
    <col min="14" max="14" width="12.33203125" customWidth="1"/>
    <col min="15" max="15" width="10.77734375" customWidth="1"/>
  </cols>
  <sheetData>
    <row r="2" spans="2:12" x14ac:dyDescent="0.3">
      <c r="E2" s="124" t="s">
        <v>0</v>
      </c>
      <c r="F2" s="125"/>
      <c r="G2" s="125"/>
      <c r="H2" s="125"/>
    </row>
    <row r="3" spans="2:12" x14ac:dyDescent="0.3">
      <c r="E3" s="125"/>
      <c r="F3" s="125"/>
      <c r="G3" s="125"/>
      <c r="H3" s="125"/>
    </row>
    <row r="4" spans="2:12" x14ac:dyDescent="0.3">
      <c r="E4" s="125"/>
      <c r="F4" s="125"/>
      <c r="G4" s="125"/>
      <c r="H4" s="125"/>
    </row>
    <row r="5" spans="2:12" x14ac:dyDescent="0.3">
      <c r="E5" s="125"/>
      <c r="F5" s="125"/>
      <c r="G5" s="125"/>
      <c r="H5" s="125"/>
    </row>
    <row r="9" spans="2:12" ht="15" thickBot="1" x14ac:dyDescent="0.35"/>
    <row r="10" spans="2:12" ht="14.4" customHeight="1" x14ac:dyDescent="0.3">
      <c r="B10" s="127" t="s">
        <v>1</v>
      </c>
      <c r="C10" s="120" t="s">
        <v>2</v>
      </c>
      <c r="D10" s="120" t="s">
        <v>3</v>
      </c>
      <c r="E10" s="120" t="s">
        <v>4</v>
      </c>
      <c r="F10" s="120" t="s">
        <v>5</v>
      </c>
      <c r="G10" s="120" t="s">
        <v>6</v>
      </c>
      <c r="H10" s="120" t="s">
        <v>16</v>
      </c>
      <c r="I10" s="120" t="s">
        <v>17</v>
      </c>
      <c r="J10" s="120" t="s">
        <v>18</v>
      </c>
      <c r="K10" s="120" t="s">
        <v>19</v>
      </c>
      <c r="L10" s="122" t="s">
        <v>20</v>
      </c>
    </row>
    <row r="11" spans="2:12" ht="15" thickBot="1" x14ac:dyDescent="0.35">
      <c r="B11" s="128"/>
      <c r="C11" s="121"/>
      <c r="D11" s="121"/>
      <c r="E11" s="121"/>
      <c r="F11" s="121"/>
      <c r="G11" s="121"/>
      <c r="H11" s="126"/>
      <c r="I11" s="121"/>
      <c r="J11" s="121"/>
      <c r="K11" s="121"/>
      <c r="L11" s="123"/>
    </row>
    <row r="12" spans="2:12" x14ac:dyDescent="0.3">
      <c r="B12" s="1" t="s">
        <v>192</v>
      </c>
      <c r="G12" s="9">
        <f>'Income statement'!G23+'Income statement'!G31</f>
        <v>1961</v>
      </c>
      <c r="H12" s="9">
        <f>'Income statement'!H23+'Income statement'!H31</f>
        <v>2150.049039610104</v>
      </c>
      <c r="I12" s="9">
        <f>'Income statement'!I23+'Income statement'!I31</f>
        <v>2507.8207349090649</v>
      </c>
      <c r="J12" s="9">
        <f>'Income statement'!J23+'Income statement'!J31</f>
        <v>3087.4691017860491</v>
      </c>
      <c r="K12" s="9">
        <f>'Income statement'!K23+'Income statement'!K31</f>
        <v>3775.2871410363873</v>
      </c>
      <c r="L12" s="9">
        <f>'Income statement'!L23+'Income statement'!L31</f>
        <v>4441.0845209453391</v>
      </c>
    </row>
    <row r="13" spans="2:12" x14ac:dyDescent="0.3">
      <c r="B13" s="1" t="s">
        <v>270</v>
      </c>
      <c r="G13" s="67">
        <f>'Cost Schedule'!G41</f>
        <v>0.31586206896551722</v>
      </c>
      <c r="H13" s="67">
        <f>'Cost Schedule'!H41</f>
        <v>0.2939710398979013</v>
      </c>
      <c r="I13" s="67">
        <f>'Cost Schedule'!I41</f>
        <v>0.29872021034620549</v>
      </c>
      <c r="J13" s="67">
        <f>'Cost Schedule'!J41</f>
        <v>0.30332481018437085</v>
      </c>
      <c r="K13" s="67">
        <f>'Cost Schedule'!K41</f>
        <v>0.30029839551927834</v>
      </c>
      <c r="L13" s="67">
        <f>'Cost Schedule'!L41</f>
        <v>0.30243530498265464</v>
      </c>
    </row>
    <row r="14" spans="2:12" x14ac:dyDescent="0.3">
      <c r="B14" s="1"/>
    </row>
    <row r="15" spans="2:12" x14ac:dyDescent="0.3">
      <c r="B15" s="1" t="s">
        <v>271</v>
      </c>
      <c r="G15" s="9">
        <f>G12*(1-G13)</f>
        <v>1341.5944827586209</v>
      </c>
      <c r="H15" s="9">
        <f t="shared" ref="H15:L15" si="0">H12*(1-H13)</f>
        <v>1517.9968876044377</v>
      </c>
      <c r="I15" s="9">
        <f t="shared" si="0"/>
        <v>1758.6839974664535</v>
      </c>
      <c r="J15" s="9">
        <f t="shared" si="0"/>
        <v>2150.9631225366857</v>
      </c>
      <c r="K15" s="9">
        <f t="shared" si="0"/>
        <v>2641.5744699585966</v>
      </c>
      <c r="L15" s="9">
        <f t="shared" si="0"/>
        <v>3097.9437693994887</v>
      </c>
    </row>
    <row r="16" spans="2:12" x14ac:dyDescent="0.3">
      <c r="B16" s="1" t="s">
        <v>272</v>
      </c>
      <c r="G16" s="9">
        <f>-('Asset Schedule'!G23)</f>
        <v>-161</v>
      </c>
      <c r="H16" s="9">
        <f>-('Asset Schedule'!H23)</f>
        <v>-204.49502840439726</v>
      </c>
      <c r="I16" s="9">
        <f>-('Asset Schedule'!I23)</f>
        <v>-260.69334331575629</v>
      </c>
      <c r="J16" s="9">
        <f>-('Asset Schedule'!J23)</f>
        <v>-347.23557115360325</v>
      </c>
      <c r="K16" s="9">
        <f>-('Asset Schedule'!K23)</f>
        <v>-456.84558122411892</v>
      </c>
      <c r="L16" s="9">
        <f>-('Asset Schedule'!L23)</f>
        <v>-580.41875609117085</v>
      </c>
    </row>
    <row r="17" spans="2:12" x14ac:dyDescent="0.3">
      <c r="B17" s="1" t="s">
        <v>273</v>
      </c>
      <c r="G17" s="9">
        <f>SUM('Cashflow statement'!G29:G31)</f>
        <v>-322</v>
      </c>
      <c r="H17" s="9">
        <f>SUM('Cashflow statement'!H29:H31)</f>
        <v>744.64460465558136</v>
      </c>
      <c r="I17" s="9">
        <f>SUM('Cashflow statement'!I29:I31)</f>
        <v>889.4001073763875</v>
      </c>
      <c r="J17" s="9">
        <f>SUM('Cashflow statement'!J29:J31)</f>
        <v>707.32050354954345</v>
      </c>
      <c r="K17" s="9">
        <f>SUM('Cashflow statement'!K29:K31)</f>
        <v>1091.7476827874591</v>
      </c>
      <c r="L17" s="9">
        <f>SUM('Cashflow statement'!L29:L31)</f>
        <v>1574.7999146267839</v>
      </c>
    </row>
    <row r="18" spans="2:12" x14ac:dyDescent="0.3">
      <c r="B18" s="1" t="s">
        <v>274</v>
      </c>
      <c r="G18" s="9">
        <f>'Cashflow statement'!G17</f>
        <v>178</v>
      </c>
      <c r="H18" s="9">
        <f>'Cashflow statement'!H17</f>
        <v>226.24873097698548</v>
      </c>
      <c r="I18" s="9">
        <f>'Cashflow statement'!I17</f>
        <v>226.93129825301961</v>
      </c>
      <c r="J18" s="9">
        <f>'Cashflow statement'!J17</f>
        <v>236.17126524914008</v>
      </c>
      <c r="K18" s="9">
        <f>'Cashflow statement'!K17</f>
        <v>256.22074041892057</v>
      </c>
      <c r="L18" s="9">
        <f>'Cashflow statement'!L17</f>
        <v>286.85565889122336</v>
      </c>
    </row>
    <row r="19" spans="2:12" x14ac:dyDescent="0.3">
      <c r="B19" s="23" t="s">
        <v>275</v>
      </c>
      <c r="C19" s="23"/>
      <c r="D19" s="23"/>
      <c r="E19" s="23"/>
      <c r="F19" s="23"/>
      <c r="G19" s="83">
        <f>SUM(G15:G18)</f>
        <v>1036.5944827586209</v>
      </c>
      <c r="H19" s="83">
        <f t="shared" ref="H19:L19" si="1">SUM(H15:H18)</f>
        <v>2284.3951948326071</v>
      </c>
      <c r="I19" s="83">
        <f t="shared" si="1"/>
        <v>2614.3220597801042</v>
      </c>
      <c r="J19" s="83">
        <f t="shared" si="1"/>
        <v>2747.2193201817659</v>
      </c>
      <c r="K19" s="83">
        <f t="shared" si="1"/>
        <v>3532.6973119408572</v>
      </c>
      <c r="L19" s="83">
        <f t="shared" si="1"/>
        <v>4379.1805868263255</v>
      </c>
    </row>
    <row r="21" spans="2:12" x14ac:dyDescent="0.3">
      <c r="B21" s="74" t="s">
        <v>276</v>
      </c>
    </row>
    <row r="22" spans="2:12" x14ac:dyDescent="0.3">
      <c r="B22" s="1" t="s">
        <v>277</v>
      </c>
      <c r="G22" s="80">
        <v>6.7000000000000004E-2</v>
      </c>
      <c r="H22" s="80">
        <v>6.7000000000000004E-2</v>
      </c>
      <c r="I22" s="80">
        <v>6.7000000000000004E-2</v>
      </c>
      <c r="J22" s="80">
        <v>6.7000000000000004E-2</v>
      </c>
      <c r="K22" s="80">
        <v>6.7000000000000004E-2</v>
      </c>
      <c r="L22" s="80">
        <v>6.7000000000000004E-2</v>
      </c>
    </row>
    <row r="23" spans="2:12" x14ac:dyDescent="0.3">
      <c r="B23" s="1" t="s">
        <v>278</v>
      </c>
      <c r="G23" s="38">
        <f>'Income statement'!G36/'Income statement'!G14</f>
        <v>0.13387498845905271</v>
      </c>
      <c r="H23" s="38">
        <f>'Income statement'!H36/'Income statement'!H14</f>
        <v>0.12018357791959534</v>
      </c>
      <c r="I23" s="38">
        <f>'Income statement'!I36/'Income statement'!I14</f>
        <v>0.12167438067528361</v>
      </c>
      <c r="J23" s="38">
        <f>'Income statement'!J36/'Income statement'!J14</f>
        <v>0.12847545582196696</v>
      </c>
      <c r="K23" s="38">
        <f>'Income statement'!K36/'Income statement'!K14</f>
        <v>0.13422438671957518</v>
      </c>
      <c r="L23" s="38">
        <f>'Income statement'!L36/'Income statement'!L14</f>
        <v>0.13175396520493241</v>
      </c>
    </row>
    <row r="24" spans="2:12" x14ac:dyDescent="0.3">
      <c r="B24" s="1" t="s">
        <v>279</v>
      </c>
      <c r="G24" s="38">
        <f>G23-G22</f>
        <v>6.6874988459052709E-2</v>
      </c>
      <c r="H24" s="38">
        <f t="shared" ref="H24:L24" si="2">H23-H22</f>
        <v>5.318357791959534E-2</v>
      </c>
      <c r="I24" s="38">
        <f t="shared" si="2"/>
        <v>5.4674380675283601E-2</v>
      </c>
      <c r="J24" s="38">
        <f t="shared" si="2"/>
        <v>6.1475455821966951E-2</v>
      </c>
      <c r="K24" s="38">
        <f t="shared" si="2"/>
        <v>6.7224386719575174E-2</v>
      </c>
      <c r="L24" s="38">
        <f t="shared" si="2"/>
        <v>6.4753965204932401E-2</v>
      </c>
    </row>
    <row r="25" spans="2:12" x14ac:dyDescent="0.3">
      <c r="B25" s="1" t="s">
        <v>280</v>
      </c>
      <c r="G25">
        <v>0.52</v>
      </c>
      <c r="H25">
        <v>0.52</v>
      </c>
      <c r="I25">
        <v>0.52</v>
      </c>
      <c r="J25">
        <v>0.52</v>
      </c>
      <c r="K25">
        <v>0.52</v>
      </c>
      <c r="L25">
        <v>0.52</v>
      </c>
    </row>
    <row r="27" spans="2:12" x14ac:dyDescent="0.3">
      <c r="B27" s="23" t="s">
        <v>281</v>
      </c>
      <c r="C27" s="23"/>
      <c r="D27" s="23"/>
      <c r="E27" s="23"/>
      <c r="F27" s="23"/>
      <c r="G27" s="84">
        <f>G22+(G25*G24)</f>
        <v>0.10177499399870742</v>
      </c>
      <c r="H27" s="84">
        <f t="shared" ref="H27:L27" si="3">H22+(H25*H24)</f>
        <v>9.4655460518189585E-2</v>
      </c>
      <c r="I27" s="84">
        <f t="shared" si="3"/>
        <v>9.5430677951147486E-2</v>
      </c>
      <c r="J27" s="84">
        <f t="shared" si="3"/>
        <v>9.8967237027422827E-2</v>
      </c>
      <c r="K27" s="84">
        <f t="shared" si="3"/>
        <v>0.1019566810941791</v>
      </c>
      <c r="L27" s="84">
        <f t="shared" si="3"/>
        <v>0.10067206190656486</v>
      </c>
    </row>
    <row r="28" spans="2:12" x14ac:dyDescent="0.3">
      <c r="B28" s="30"/>
    </row>
    <row r="29" spans="2:12" x14ac:dyDescent="0.3">
      <c r="B29" s="75" t="s">
        <v>282</v>
      </c>
    </row>
    <row r="30" spans="2:12" x14ac:dyDescent="0.3">
      <c r="B30" s="33" t="s">
        <v>283</v>
      </c>
      <c r="G30" s="38">
        <f>'Debt Schedule'!G37/'Debt Schedule'!G44</f>
        <v>0.13984168865435356</v>
      </c>
      <c r="H30" s="38">
        <f>'Debt Schedule'!H37/'Debt Schedule'!H44</f>
        <v>0.14903374301517261</v>
      </c>
      <c r="I30" s="38">
        <f>'Debt Schedule'!I37/'Debt Schedule'!I44</f>
        <v>0.14836113092469375</v>
      </c>
      <c r="J30" s="38">
        <f>'Debt Schedule'!J37/'Debt Schedule'!J44</f>
        <v>0.14760687836364905</v>
      </c>
      <c r="K30" s="38">
        <f>'Debt Schedule'!K37/'Debt Schedule'!K44</f>
        <v>0.14676250325715906</v>
      </c>
      <c r="L30" s="38">
        <f>'Debt Schedule'!L37/'Debt Schedule'!L44</f>
        <v>0.14581983075916111</v>
      </c>
    </row>
    <row r="31" spans="2:12" x14ac:dyDescent="0.3">
      <c r="B31" s="33" t="s">
        <v>270</v>
      </c>
      <c r="G31" s="67">
        <f>G13</f>
        <v>0.31586206896551722</v>
      </c>
      <c r="H31" s="67">
        <f t="shared" ref="H31:L31" si="4">H13</f>
        <v>0.2939710398979013</v>
      </c>
      <c r="I31" s="67">
        <f t="shared" si="4"/>
        <v>0.29872021034620549</v>
      </c>
      <c r="J31" s="67">
        <f t="shared" si="4"/>
        <v>0.30332481018437085</v>
      </c>
      <c r="K31" s="67">
        <f t="shared" si="4"/>
        <v>0.30029839551927834</v>
      </c>
      <c r="L31" s="67">
        <f t="shared" si="4"/>
        <v>0.30243530498265464</v>
      </c>
    </row>
    <row r="32" spans="2:12" x14ac:dyDescent="0.3">
      <c r="B32" s="30"/>
    </row>
    <row r="33" spans="2:12" x14ac:dyDescent="0.3">
      <c r="B33" s="76" t="s">
        <v>284</v>
      </c>
      <c r="C33" s="85"/>
      <c r="D33" s="85"/>
      <c r="E33" s="85"/>
      <c r="F33" s="85"/>
      <c r="G33" s="86">
        <f>G30*(1-G31)</f>
        <v>9.5671003548357753E-2</v>
      </c>
      <c r="H33" s="86">
        <f t="shared" ref="H33:L33" si="5">H30*(1-H31)</f>
        <v>0.10522213860112574</v>
      </c>
      <c r="I33" s="86">
        <f t="shared" si="5"/>
        <v>0.10404266268766831</v>
      </c>
      <c r="J33" s="86">
        <f t="shared" si="5"/>
        <v>0.10283405000208769</v>
      </c>
      <c r="K33" s="86">
        <f t="shared" si="5"/>
        <v>0.10268995900664132</v>
      </c>
      <c r="L33" s="86">
        <f t="shared" si="5"/>
        <v>0.10171876577099513</v>
      </c>
    </row>
    <row r="34" spans="2:12" x14ac:dyDescent="0.3">
      <c r="B34" s="33"/>
    </row>
    <row r="35" spans="2:12" x14ac:dyDescent="0.3">
      <c r="B35" s="33" t="s">
        <v>285</v>
      </c>
      <c r="G35" s="41">
        <f>'Debt Schedule'!G44</f>
        <v>379</v>
      </c>
      <c r="H35" s="41">
        <f>'Debt Schedule'!H44</f>
        <v>394.87653032400351</v>
      </c>
      <c r="I35" s="41">
        <f>'Debt Schedule'!I44</f>
        <v>415.24476971979385</v>
      </c>
      <c r="J35" s="41">
        <f>'Debt Schedule'!J44</f>
        <v>441.26604539116073</v>
      </c>
      <c r="K35" s="41">
        <f>'Debt Schedule'!K44</f>
        <v>474.51692576826935</v>
      </c>
      <c r="L35" s="41">
        <f>'Debt Schedule'!L44</f>
        <v>517.16733346570675</v>
      </c>
    </row>
    <row r="36" spans="2:12" x14ac:dyDescent="0.3">
      <c r="B36" s="33" t="s">
        <v>286</v>
      </c>
      <c r="G36" s="41">
        <f>'Balance Sheet'!G56</f>
        <v>3975</v>
      </c>
      <c r="H36" s="41">
        <f>'Balance Sheet'!H56</f>
        <v>5236.4808259576785</v>
      </c>
      <c r="I36" s="41">
        <f>'Balance Sheet'!I56</f>
        <v>6889.0667739183864</v>
      </c>
      <c r="J36" s="41">
        <f>'Balance Sheet'!J56</f>
        <v>9028.9131202218814</v>
      </c>
      <c r="K36" s="41">
        <f>'Balance Sheet'!K56</f>
        <v>11621.251266764162</v>
      </c>
      <c r="L36" s="41">
        <f>'Balance Sheet'!L56</f>
        <v>11168.251266764162</v>
      </c>
    </row>
    <row r="37" spans="2:12" x14ac:dyDescent="0.3">
      <c r="B37" s="33"/>
    </row>
    <row r="38" spans="2:12" x14ac:dyDescent="0.3">
      <c r="B38" s="33" t="s">
        <v>267</v>
      </c>
      <c r="G38" s="46">
        <f>SUM(G35:G36)</f>
        <v>4354</v>
      </c>
      <c r="H38" s="46">
        <f t="shared" ref="H38:L38" si="6">SUM(H35:H36)</f>
        <v>5631.3573562816819</v>
      </c>
      <c r="I38" s="46">
        <f t="shared" si="6"/>
        <v>7304.3115436381804</v>
      </c>
      <c r="J38" s="46">
        <f t="shared" si="6"/>
        <v>9470.1791656130426</v>
      </c>
      <c r="K38" s="46">
        <f t="shared" si="6"/>
        <v>12095.768192532432</v>
      </c>
      <c r="L38" s="46">
        <f t="shared" si="6"/>
        <v>11685.418600229868</v>
      </c>
    </row>
    <row r="39" spans="2:12" x14ac:dyDescent="0.3">
      <c r="B39" s="33"/>
    </row>
    <row r="40" spans="2:12" x14ac:dyDescent="0.3">
      <c r="B40" s="77" t="s">
        <v>287</v>
      </c>
      <c r="G40" s="42">
        <f>G35/G38</f>
        <v>8.7046394120349105E-2</v>
      </c>
      <c r="H40" s="42">
        <f t="shared" ref="H40:L40" si="7">H35/H38</f>
        <v>7.0121021512429077E-2</v>
      </c>
      <c r="I40" s="42">
        <f t="shared" si="7"/>
        <v>5.6849268714648217E-2</v>
      </c>
      <c r="J40" s="42">
        <f t="shared" si="7"/>
        <v>4.6595321764706633E-2</v>
      </c>
      <c r="K40" s="42">
        <f t="shared" si="7"/>
        <v>3.9229995004469581E-2</v>
      </c>
      <c r="L40" s="42">
        <f t="shared" si="7"/>
        <v>4.42574931338389E-2</v>
      </c>
    </row>
    <row r="41" spans="2:12" x14ac:dyDescent="0.3">
      <c r="B41" s="77" t="s">
        <v>288</v>
      </c>
      <c r="G41" s="42">
        <f>G36/G38</f>
        <v>0.91295360587965091</v>
      </c>
      <c r="H41" s="42">
        <f t="shared" ref="H41:L41" si="8">H36/H38</f>
        <v>0.92987897848757095</v>
      </c>
      <c r="I41" s="42">
        <f t="shared" si="8"/>
        <v>0.94315073128535176</v>
      </c>
      <c r="J41" s="42">
        <f t="shared" si="8"/>
        <v>0.95340467823529329</v>
      </c>
      <c r="K41" s="42">
        <f t="shared" si="8"/>
        <v>0.96077000499553034</v>
      </c>
      <c r="L41" s="42">
        <f t="shared" si="8"/>
        <v>0.95574250686616113</v>
      </c>
    </row>
    <row r="42" spans="2:12" x14ac:dyDescent="0.3">
      <c r="B42" s="33"/>
      <c r="G42" s="68">
        <f>SUM(G40:G41)</f>
        <v>1</v>
      </c>
      <c r="H42" s="68">
        <f t="shared" ref="H42:L42" si="9">SUM(H40:H41)</f>
        <v>1</v>
      </c>
      <c r="I42" s="68">
        <f t="shared" si="9"/>
        <v>1</v>
      </c>
      <c r="J42" s="68">
        <f t="shared" si="9"/>
        <v>0.99999999999999989</v>
      </c>
      <c r="K42" s="68">
        <f t="shared" si="9"/>
        <v>0.99999999999999989</v>
      </c>
      <c r="L42" s="68">
        <f t="shared" si="9"/>
        <v>1</v>
      </c>
    </row>
    <row r="43" spans="2:12" x14ac:dyDescent="0.3">
      <c r="B43" s="30"/>
    </row>
    <row r="44" spans="2:12" x14ac:dyDescent="0.3">
      <c r="B44" s="78" t="s">
        <v>289</v>
      </c>
      <c r="G44" s="38">
        <f>G40*G33+(G41*G27)</f>
        <v>0.10124366364025943</v>
      </c>
      <c r="H44" s="38">
        <f t="shared" ref="H44:L44" si="10">H40*H33+(H41*H27)</f>
        <v>9.5396406779358067E-2</v>
      </c>
      <c r="I44" s="38">
        <f t="shared" si="10"/>
        <v>9.5920262985600413E-2</v>
      </c>
      <c r="J44" s="38">
        <f t="shared" si="10"/>
        <v>9.9147412422181266E-2</v>
      </c>
      <c r="K44" s="38">
        <f t="shared" si="10"/>
        <v>0.10198544758302187</v>
      </c>
      <c r="L44" s="38">
        <f t="shared" si="10"/>
        <v>0.10071838639565804</v>
      </c>
    </row>
    <row r="45" spans="2:12" x14ac:dyDescent="0.3">
      <c r="B45" s="30"/>
    </row>
    <row r="46" spans="2:12" x14ac:dyDescent="0.3">
      <c r="B46" s="33" t="s">
        <v>290</v>
      </c>
      <c r="G46" s="67">
        <f>AVERAGE(G44:L44)</f>
        <v>9.9068596634346515E-2</v>
      </c>
    </row>
    <row r="47" spans="2:12" x14ac:dyDescent="0.3">
      <c r="B47" s="30"/>
    </row>
    <row r="48" spans="2:12" x14ac:dyDescent="0.3">
      <c r="B48" s="75" t="s">
        <v>291</v>
      </c>
      <c r="G48" s="87">
        <f>NPV(G46,G19:L19)</f>
        <v>11373.587754524226</v>
      </c>
    </row>
    <row r="49" spans="2:12" x14ac:dyDescent="0.3">
      <c r="B49" s="33"/>
    </row>
    <row r="50" spans="2:12" x14ac:dyDescent="0.3">
      <c r="B50" s="33"/>
    </row>
    <row r="51" spans="2:12" x14ac:dyDescent="0.3">
      <c r="B51" s="33" t="s">
        <v>292</v>
      </c>
      <c r="G51" s="52">
        <v>0.05</v>
      </c>
      <c r="L51" s="81">
        <f>L19*(1+G51)/(G46-G51)</f>
        <v>93708.398681797335</v>
      </c>
    </row>
    <row r="52" spans="2:12" x14ac:dyDescent="0.3">
      <c r="B52" s="33" t="s">
        <v>293</v>
      </c>
    </row>
    <row r="53" spans="2:12" x14ac:dyDescent="0.3">
      <c r="B53" s="33"/>
    </row>
    <row r="54" spans="2:12" x14ac:dyDescent="0.3">
      <c r="B54" s="33" t="s">
        <v>294</v>
      </c>
      <c r="G54" s="82">
        <f>L51/(1+G46)^5</f>
        <v>58432.507193850855</v>
      </c>
    </row>
    <row r="55" spans="2:12" x14ac:dyDescent="0.3">
      <c r="B55" s="33"/>
    </row>
    <row r="56" spans="2:12" x14ac:dyDescent="0.3">
      <c r="B56" s="79" t="s">
        <v>295</v>
      </c>
      <c r="C56" s="79"/>
      <c r="D56" s="79"/>
      <c r="E56" s="79"/>
      <c r="F56" s="79"/>
      <c r="G56" s="79">
        <f>G54+G48</f>
        <v>69806.094948375074</v>
      </c>
    </row>
    <row r="57" spans="2:12" ht="28.8" x14ac:dyDescent="0.3">
      <c r="B57" s="66" t="s">
        <v>296</v>
      </c>
      <c r="G57">
        <f>'Balance Sheet'!F38</f>
        <v>228</v>
      </c>
    </row>
    <row r="58" spans="2:12" x14ac:dyDescent="0.3">
      <c r="B58" s="30" t="s">
        <v>297</v>
      </c>
      <c r="G58">
        <f>-('Balance Sheet'!F57)</f>
        <v>-337</v>
      </c>
    </row>
    <row r="59" spans="2:12" x14ac:dyDescent="0.3">
      <c r="B59" s="30" t="s">
        <v>298</v>
      </c>
      <c r="G59" s="9">
        <f>-('Debt Schedule'!G43)</f>
        <v>-383</v>
      </c>
    </row>
    <row r="60" spans="2:12" x14ac:dyDescent="0.3">
      <c r="B60" s="79" t="s">
        <v>299</v>
      </c>
      <c r="C60" s="79"/>
      <c r="D60" s="79"/>
      <c r="E60" s="79"/>
      <c r="F60" s="79"/>
      <c r="G60" s="79">
        <f>SUM(G56:G59)</f>
        <v>69314.094948375074</v>
      </c>
    </row>
    <row r="61" spans="2:12" x14ac:dyDescent="0.3">
      <c r="B61" s="30"/>
    </row>
    <row r="62" spans="2:12" x14ac:dyDescent="0.3">
      <c r="B62" s="33" t="s">
        <v>300</v>
      </c>
      <c r="G62" s="1">
        <f>'Balance Sheet'!G54/1</f>
        <v>129</v>
      </c>
    </row>
    <row r="63" spans="2:12" x14ac:dyDescent="0.3">
      <c r="B63" s="33" t="s">
        <v>301</v>
      </c>
      <c r="G63" s="82">
        <f>G60/G62</f>
        <v>537.31856549127963</v>
      </c>
    </row>
    <row r="64" spans="2:12" x14ac:dyDescent="0.3">
      <c r="B64" s="33" t="s">
        <v>302</v>
      </c>
      <c r="G64" s="81">
        <v>806</v>
      </c>
    </row>
    <row r="69" spans="3:12" x14ac:dyDescent="0.3">
      <c r="C69" s="7"/>
      <c r="D69" s="7"/>
      <c r="E69" s="7"/>
      <c r="F69" s="7"/>
      <c r="G69" s="7"/>
      <c r="H69" s="7"/>
      <c r="I69" s="7"/>
      <c r="J69" s="7"/>
      <c r="K69" s="7"/>
      <c r="L69" s="7"/>
    </row>
    <row r="70" spans="3:12" x14ac:dyDescent="0.3">
      <c r="C70" s="7"/>
      <c r="D70" s="7"/>
      <c r="E70" s="7"/>
      <c r="F70" s="7"/>
      <c r="G70" s="7"/>
      <c r="H70" s="7"/>
      <c r="I70" s="7"/>
      <c r="J70" s="7"/>
      <c r="K70" s="7"/>
      <c r="L70" s="7"/>
    </row>
  </sheetData>
  <mergeCells count="12">
    <mergeCell ref="B10:B11"/>
    <mergeCell ref="C10:C11"/>
    <mergeCell ref="D10:D11"/>
    <mergeCell ref="E10:E11"/>
    <mergeCell ref="F10:F11"/>
    <mergeCell ref="I10:I11"/>
    <mergeCell ref="J10:J11"/>
    <mergeCell ref="K10:K11"/>
    <mergeCell ref="L10:L11"/>
    <mergeCell ref="E2:H5"/>
    <mergeCell ref="G10:G11"/>
    <mergeCell ref="H10:H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About</vt:lpstr>
      <vt:lpstr>Income statement</vt:lpstr>
      <vt:lpstr>Balance Sheet</vt:lpstr>
      <vt:lpstr>Cashflow statement</vt:lpstr>
      <vt:lpstr>Ratio Analysis</vt:lpstr>
      <vt:lpstr>Assumption sheet</vt:lpstr>
      <vt:lpstr>Revenue schedule</vt:lpstr>
      <vt:lpstr>Cost Schedule</vt:lpstr>
      <vt:lpstr>Asset Schedule</vt:lpstr>
      <vt:lpstr>Debt Schedule</vt:lpstr>
      <vt:lpstr>Working Capital Schedule</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Sakhare</dc:creator>
  <cp:lastModifiedBy>Shreya Sakhare</cp:lastModifiedBy>
  <dcterms:created xsi:type="dcterms:W3CDTF">2026-02-23T12:04:01Z</dcterms:created>
  <dcterms:modified xsi:type="dcterms:W3CDTF">2026-02-27T09:53:05Z</dcterms:modified>
</cp:coreProperties>
</file>